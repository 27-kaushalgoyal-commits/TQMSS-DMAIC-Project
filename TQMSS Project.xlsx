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TIN RAJPUT\Downloads\"/>
    </mc:Choice>
  </mc:AlternateContent>
  <xr:revisionPtr revIDLastSave="0" documentId="13_ncr:1_{927B3655-C8D5-491A-A4F3-689D2F7613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 DATA" sheetId="1" r:id="rId1"/>
    <sheet name="2 DEFINE" sheetId="2" r:id="rId2"/>
    <sheet name="3 MEASURE" sheetId="3" r:id="rId3"/>
    <sheet name="4 ANALYZE" sheetId="4" r:id="rId4"/>
    <sheet name="5 IMPROVE" sheetId="5" r:id="rId5"/>
    <sheet name="6 CONTROL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3" i="1" l="1"/>
  <c r="M7" i="1" s="1"/>
  <c r="D15" i="3"/>
  <c r="C18" i="3"/>
  <c r="H27" i="3"/>
  <c r="C56" i="3"/>
  <c r="B56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F33" i="1"/>
  <c r="E33" i="1"/>
  <c r="D33" i="1"/>
  <c r="C33" i="1"/>
  <c r="M8" i="1" s="1"/>
  <c r="M9" i="1" l="1"/>
  <c r="M10" i="1" s="1"/>
  <c r="D16" i="3"/>
  <c r="D58" i="3"/>
  <c r="G33" i="1"/>
  <c r="H33" i="1" s="1"/>
  <c r="D17" i="3" l="1"/>
  <c r="E16" i="3" s="1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J41" i="3" s="1"/>
  <c r="I42" i="3"/>
  <c r="I43" i="3"/>
  <c r="I44" i="3"/>
  <c r="I45" i="3"/>
  <c r="I46" i="3"/>
  <c r="I47" i="3"/>
  <c r="I48" i="3"/>
  <c r="J48" i="3" s="1"/>
  <c r="I49" i="3"/>
  <c r="I50" i="3"/>
  <c r="I51" i="3"/>
  <c r="I52" i="3"/>
  <c r="I53" i="3"/>
  <c r="I54" i="3"/>
  <c r="E17" i="3" l="1"/>
  <c r="E15" i="3"/>
  <c r="J27" i="3"/>
  <c r="L48" i="3"/>
  <c r="K48" i="3"/>
  <c r="L41" i="3"/>
  <c r="K41" i="3"/>
  <c r="J42" i="3"/>
  <c r="J43" i="3"/>
  <c r="J44" i="3"/>
  <c r="J45" i="3"/>
  <c r="J46" i="3"/>
  <c r="J47" i="3"/>
  <c r="J49" i="3"/>
  <c r="J50" i="3"/>
  <c r="J51" i="3"/>
  <c r="J53" i="3"/>
  <c r="J54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52" i="3"/>
  <c r="L33" i="3" l="1"/>
  <c r="K33" i="3"/>
  <c r="L36" i="3"/>
  <c r="K36" i="3"/>
  <c r="L27" i="3"/>
  <c r="K27" i="3"/>
  <c r="K44" i="3"/>
  <c r="L44" i="3"/>
  <c r="L29" i="3"/>
  <c r="K29" i="3"/>
  <c r="L52" i="3"/>
  <c r="K52" i="3"/>
  <c r="L40" i="3"/>
  <c r="K40" i="3"/>
  <c r="L50" i="3"/>
  <c r="K50" i="3"/>
  <c r="L35" i="3"/>
  <c r="K35" i="3"/>
  <c r="K39" i="3"/>
  <c r="L39" i="3"/>
  <c r="L42" i="3"/>
  <c r="K42" i="3"/>
  <c r="L45" i="3"/>
  <c r="K45" i="3"/>
  <c r="L54" i="3"/>
  <c r="K54" i="3"/>
  <c r="L43" i="3"/>
  <c r="K43" i="3"/>
  <c r="L46" i="3"/>
  <c r="K46" i="3"/>
  <c r="K51" i="3"/>
  <c r="L51" i="3"/>
  <c r="L30" i="3"/>
  <c r="K30" i="3"/>
  <c r="K31" i="3"/>
  <c r="L31" i="3"/>
  <c r="L32" i="3"/>
  <c r="K32" i="3"/>
  <c r="L34" i="3"/>
  <c r="K34" i="3"/>
  <c r="K47" i="3"/>
  <c r="L47" i="3"/>
  <c r="L49" i="3"/>
  <c r="K49" i="3"/>
  <c r="L53" i="3"/>
  <c r="K53" i="3"/>
  <c r="L28" i="3"/>
  <c r="K28" i="3"/>
  <c r="L37" i="3"/>
  <c r="K37" i="3"/>
  <c r="L38" i="3"/>
  <c r="K38" i="3"/>
</calcChain>
</file>

<file path=xl/sharedStrings.xml><?xml version="1.0" encoding="utf-8"?>
<sst xmlns="http://schemas.openxmlformats.org/spreadsheetml/2006/main" count="283" uniqueCount="246">
  <si>
    <t>Day</t>
  </si>
  <si>
    <t>Toys Produced</t>
  </si>
  <si>
    <t>Total Defective</t>
  </si>
  <si>
    <t>Carving/Shaping</t>
  </si>
  <si>
    <t>Paint/Finish</t>
  </si>
  <si>
    <t>Joint/Assembly</t>
  </si>
  <si>
    <t>Defect Rate</t>
  </si>
  <si>
    <t>Yield Rate</t>
  </si>
  <si>
    <t>UCL</t>
  </si>
  <si>
    <t>LCL</t>
  </si>
  <si>
    <t>DEFINE | PROJECT CHARTER</t>
  </si>
  <si>
    <t>Project Charter</t>
  </si>
  <si>
    <t>Project Title</t>
  </si>
  <si>
    <t>Reduction of manufacturing defects in wooden toy production</t>
  </si>
  <si>
    <t>Business Problem</t>
  </si>
  <si>
    <t>During the 28-day baseline, 593 defective toys were recorded from 10,909 produced, resulting in a 5.44% defect rate.</t>
  </si>
  <si>
    <t>Goal Statement</t>
  </si>
  <si>
    <t>Reduce the overall defect rate from 5.44% toward a project target of ≤2.50% while maintaining production volume.</t>
  </si>
  <si>
    <t>CTQ</t>
  </si>
  <si>
    <t>Defect-free wooden toy with acceptable carving/shaping, paint/finish and joint/assembly quality.</t>
  </si>
  <si>
    <t>Scope – In</t>
  </si>
  <si>
    <t>Carving/Shaping, Paint/Finish, Joint/Assembly, inspection, defect recording and rework/rejection.</t>
  </si>
  <si>
    <t>Scope – Out</t>
  </si>
  <si>
    <t>Marketing, pricing, distribution and customer-service activities outside manufacturing quality.</t>
  </si>
  <si>
    <t>Stakeholders</t>
  </si>
  <si>
    <t>Production Supervisor, Quality Inspector, Operators and Operations Manager.</t>
  </si>
  <si>
    <t>SIPOC</t>
  </si>
  <si>
    <t>Supplier</t>
  </si>
  <si>
    <t>Input</t>
  </si>
  <si>
    <t>Process</t>
  </si>
  <si>
    <t>Output</t>
  </si>
  <si>
    <t>Customer</t>
  </si>
  <si>
    <t>Wood/material suppliers</t>
  </si>
  <si>
    <t>Wood components</t>
  </si>
  <si>
    <t>Receive materials</t>
  </si>
  <si>
    <t>Finished wooden toy</t>
  </si>
  <si>
    <t>End customer</t>
  </si>
  <si>
    <t>Paint/adhesive suppliers</t>
  </si>
  <si>
    <t>Paint / adhesive</t>
  </si>
  <si>
    <t>Carve / shape</t>
  </si>
  <si>
    <t>Accepted product</t>
  </si>
  <si>
    <t>Retail / distribution</t>
  </si>
  <si>
    <t>Tool / fixture suppliers</t>
  </si>
  <si>
    <t>Tools / fixtures</t>
  </si>
  <si>
    <t>Paint / finish</t>
  </si>
  <si>
    <t>Defect records</t>
  </si>
  <si>
    <t>Internal operations</t>
  </si>
  <si>
    <t>Production support</t>
  </si>
  <si>
    <t>Work instructions</t>
  </si>
  <si>
    <t>Assemble joints</t>
  </si>
  <si>
    <t>Rework / rejected output</t>
  </si>
  <si>
    <t>Quality team</t>
  </si>
  <si>
    <t>Inspect &amp; record</t>
  </si>
  <si>
    <t>Define conclusion</t>
  </si>
  <si>
    <t>The project is focused on a measurable manufacturing CTQ and uses the supplied baseline dataset as the starting point for Measure and subsequent DMAIC phases.</t>
  </si>
  <si>
    <t>MEASURE | BASELINE ANALYSIS</t>
  </si>
  <si>
    <t>Baseline KPI</t>
  </si>
  <si>
    <t>KPI</t>
  </si>
  <si>
    <t>Basis</t>
  </si>
  <si>
    <t>Result</t>
  </si>
  <si>
    <t>Meaning</t>
  </si>
  <si>
    <t>Total Production</t>
  </si>
  <si>
    <t>Sum of 28 daily observations</t>
  </si>
  <si>
    <t>Baseline volume</t>
  </si>
  <si>
    <t>Sum of recorded defectives</t>
  </si>
  <si>
    <t>Baseline quality loss</t>
  </si>
  <si>
    <t>Baseline defect performance</t>
  </si>
  <si>
    <t>Yield</t>
  </si>
  <si>
    <t>1 − defect rate</t>
  </si>
  <si>
    <t>Good output rate</t>
  </si>
  <si>
    <t>DPMO</t>
  </si>
  <si>
    <t>Normalised defect metric</t>
  </si>
  <si>
    <t>P-chart special-cause points</t>
  </si>
  <si>
    <t>Variable-sample 3σ limits</t>
  </si>
  <si>
    <t>Days 8, 15, 21</t>
  </si>
  <si>
    <t>Pareto Analysis</t>
  </si>
  <si>
    <t>Rank</t>
  </si>
  <si>
    <t>Defect Category</t>
  </si>
  <si>
    <t>Defect Count</t>
  </si>
  <si>
    <t>Cumulative %</t>
  </si>
  <si>
    <t>Priority</t>
  </si>
  <si>
    <t>ANALYZE | ROOT CAUSE ANALYSIS</t>
  </si>
  <si>
    <t>Pareto Interpretation</t>
  </si>
  <si>
    <t>Paint/Finish is the largest defect category with 277 defects (46.7% of total recorded defects). Joint/Assembly is the second priority. The Pareto identifies where to focus; it does not by itself prove causation.</t>
  </si>
  <si>
    <t>FISHBONE DIAGRAM – EFFECT: HIGH MANUFACTURING DEFECT RATE</t>
  </si>
  <si>
    <t>Leading root-cause hypothesis: variation in standard work and process controls—especially paint application/drying and visual acceptance criteria—may be contributing to Paint/Finish defects. This must be validated with operator, material, method, equipment and environment data during the improvement pilot.</t>
  </si>
  <si>
    <t>5 WHY – PAINT / FINISH</t>
  </si>
  <si>
    <t>Why 1</t>
  </si>
  <si>
    <t>Why 2</t>
  </si>
  <si>
    <t>Why 3</t>
  </si>
  <si>
    <t>Why 4</t>
  </si>
  <si>
    <t>Root-cause hypothesis</t>
  </si>
  <si>
    <t>Finish varies between units</t>
  </si>
  <si>
    <t>Application / drying conditions vary</t>
  </si>
  <si>
    <t>Method may depend on operator judgement</t>
  </si>
  <si>
    <t>Key parameters are not consistently documented or checked</t>
  </si>
  <si>
    <t>Insufficient standard work and visual controls</t>
  </si>
  <si>
    <t>Defects are detected after production</t>
  </si>
  <si>
    <t>Abnormal conditions are not caught early</t>
  </si>
  <si>
    <t>No first-piece gate is evidenced in baseline</t>
  </si>
  <si>
    <t>Checks occur after production</t>
  </si>
  <si>
    <t>Introduce first-piece approval and process checks</t>
  </si>
  <si>
    <t>IMPROVE | SOLUTIONS &amp; FMEA</t>
  </si>
  <si>
    <t>Improvement Options</t>
  </si>
  <si>
    <t>Problem / Cause</t>
  </si>
  <si>
    <t>Improvement</t>
  </si>
  <si>
    <t>Expected Benefit</t>
  </si>
  <si>
    <t>Effort</t>
  </si>
  <si>
    <t>Decision</t>
  </si>
  <si>
    <t>1</t>
  </si>
  <si>
    <t>Paint application variation</t>
  </si>
  <si>
    <t>Standard Paint/Finish SOP + visual defect standard</t>
  </si>
  <si>
    <t>Reduce operator variation</t>
  </si>
  <si>
    <t>Low</t>
  </si>
  <si>
    <t>Pilot</t>
  </si>
  <si>
    <t>2</t>
  </si>
  <si>
    <t>Drying variation</t>
  </si>
  <si>
    <t>Minimum drying time + first-piece approval</t>
  </si>
  <si>
    <t>Catch abnormal finish early</t>
  </si>
  <si>
    <t>3</t>
  </si>
  <si>
    <t>Joint positioning variation</t>
  </si>
  <si>
    <t>Assembly fixture / poka-yoke</t>
  </si>
  <si>
    <t>Improve repeatability</t>
  </si>
  <si>
    <t>Medium</t>
  </si>
  <si>
    <t>4</t>
  </si>
  <si>
    <t>Tool wear</t>
  </si>
  <si>
    <t>Daily tool check + replacement trigger</t>
  </si>
  <si>
    <t>Reduce carving defects</t>
  </si>
  <si>
    <t>5</t>
  </si>
  <si>
    <t>Defect classification variation</t>
  </si>
  <si>
    <t>Common defect-definition guide</t>
  </si>
  <si>
    <t>Improve measurement consistency</t>
  </si>
  <si>
    <t>Implement</t>
  </si>
  <si>
    <t>FMEA Risk Assessment</t>
  </si>
  <si>
    <t>Failure Mode</t>
  </si>
  <si>
    <t>Effect</t>
  </si>
  <si>
    <t>S</t>
  </si>
  <si>
    <t>Potential Cause</t>
  </si>
  <si>
    <t>O</t>
  </si>
  <si>
    <t>Current Detection</t>
  </si>
  <si>
    <t>D</t>
  </si>
  <si>
    <t>RPN</t>
  </si>
  <si>
    <t>Recommended Action</t>
  </si>
  <si>
    <t>Incorrect paint application</t>
  </si>
  <si>
    <t>Poor finish / rejection</t>
  </si>
  <si>
    <t>Inconsistent method</t>
  </si>
  <si>
    <t>Visual inspection</t>
  </si>
  <si>
    <t>Standard SOP + visual standard</t>
  </si>
  <si>
    <t>High</t>
  </si>
  <si>
    <t>Insufficient drying</t>
  </si>
  <si>
    <t>Finish damage / rejection</t>
  </si>
  <si>
    <t>Variable drying time</t>
  </si>
  <si>
    <t>Final inspection</t>
  </si>
  <si>
    <t>Minimum drying time + first-piece check</t>
  </si>
  <si>
    <t>Wrong joint positioning</t>
  </si>
  <si>
    <t>Weak / incorrect assembly</t>
  </si>
  <si>
    <t>Manual positioning variation</t>
  </si>
  <si>
    <t>Fixture / poka-yoke</t>
  </si>
  <si>
    <t>Poor carving / shaping</t>
  </si>
  <si>
    <t>Worn tool</t>
  </si>
  <si>
    <t>Operator inspection</t>
  </si>
  <si>
    <t>Tool check + replacement trigger</t>
  </si>
  <si>
    <t>Incorrect defect classification</t>
  </si>
  <si>
    <t>Poor data quality</t>
  </si>
  <si>
    <t>Unclear criteria</t>
  </si>
  <si>
    <t>Supervisor review</t>
  </si>
  <si>
    <t>Defect classification guide</t>
  </si>
  <si>
    <t>Lower</t>
  </si>
  <si>
    <t>Pilot Evaluation</t>
  </si>
  <si>
    <t>Run the selected controls on a pilot basis and compare the post-improvement defect rate with the 5.44% baseline. Track total defects and each defect category daily. Do not claim the 2.50% target as achieved until post-improvement data confirms it.</t>
  </si>
  <si>
    <t>CONTROL | CONTROL PLAN</t>
  </si>
  <si>
    <t>Control Plan</t>
  </si>
  <si>
    <t>KPI / CTQ</t>
  </si>
  <si>
    <t>Baseline</t>
  </si>
  <si>
    <t>Target / Standard</t>
  </si>
  <si>
    <t>Frequency</t>
  </si>
  <si>
    <t>Owner</t>
  </si>
  <si>
    <t>Control Method</t>
  </si>
  <si>
    <t>Trigger</t>
  </si>
  <si>
    <t>Reaction</t>
  </si>
  <si>
    <t>Record</t>
  </si>
  <si>
    <t>Status</t>
  </si>
  <si>
    <t>Overall defect rate</t>
  </si>
  <si>
    <t>≤2.50% project target</t>
  </si>
  <si>
    <t>Daily</t>
  </si>
  <si>
    <t>Quality</t>
  </si>
  <si>
    <t>P-chart + KPI</t>
  </si>
  <si>
    <t>Above target / special cause</t>
  </si>
  <si>
    <t>Investigate, correct and verify</t>
  </si>
  <si>
    <t>Daily quality log</t>
  </si>
  <si>
    <t>Ready</t>
  </si>
  <si>
    <t>Paint/Finish defects</t>
  </si>
  <si>
    <t>Reduce from baseline</t>
  </si>
  <si>
    <t>Production</t>
  </si>
  <si>
    <t>Category trend</t>
  </si>
  <si>
    <t>Trend increases</t>
  </si>
  <si>
    <t>Check SOP, application, drying</t>
  </si>
  <si>
    <t>Quality log</t>
  </si>
  <si>
    <t>Joint/Assembly defects</t>
  </si>
  <si>
    <t>Assembly</t>
  </si>
  <si>
    <t>Check fixture / method</t>
  </si>
  <si>
    <t>Carving/Shaping defects</t>
  </si>
  <si>
    <t>Check tools / material</t>
  </si>
  <si>
    <t>First-piece approval</t>
  </si>
  <si>
    <t>Not available</t>
  </si>
  <si>
    <t>100% of batches</t>
  </si>
  <si>
    <t>Every batch</t>
  </si>
  <si>
    <t>Checklist</t>
  </si>
  <si>
    <t>Approval missing</t>
  </si>
  <si>
    <t>Hold batch until approved</t>
  </si>
  <si>
    <t>Batch checklist</t>
  </si>
  <si>
    <t>SOP compliance</t>
  </si>
  <si>
    <t>≥95%</t>
  </si>
  <si>
    <t>Weekly</t>
  </si>
  <si>
    <t>Supervisor</t>
  </si>
  <si>
    <t>Audit checklist</t>
  </si>
  <si>
    <t>&lt;95%</t>
  </si>
  <si>
    <t>Retrain / correct standard work</t>
  </si>
  <si>
    <t>Audit record</t>
  </si>
  <si>
    <t>Control Reaction Logic</t>
  </si>
  <si>
    <t xml:space="preserve"> Chandan Wooden Toys Pvt. Ltd.</t>
  </si>
  <si>
    <t xml:space="preserve">TOTAL </t>
  </si>
  <si>
    <t>Defectives/(units × 3 opportunities) × 1,000,000</t>
  </si>
  <si>
    <t>Defectives /production</t>
  </si>
  <si>
    <t xml:space="preserve">Chandan Wooden Toys Pvt. Ltd. </t>
  </si>
  <si>
    <t>Day No.</t>
  </si>
  <si>
    <t>Toys
Produced</t>
  </si>
  <si>
    <t>Total
Defective</t>
  </si>
  <si>
    <t>Carving/Shaping
Defects</t>
  </si>
  <si>
    <t>Paint/Finish
Defects</t>
  </si>
  <si>
    <t>Joint/Assembly
Defects</t>
  </si>
  <si>
    <t xml:space="preserve">Standard deviation </t>
  </si>
  <si>
    <t>Ni</t>
  </si>
  <si>
    <t>yi</t>
  </si>
  <si>
    <t>Pi=yi/ni</t>
  </si>
  <si>
    <t>P bar</t>
  </si>
  <si>
    <t>Sp</t>
  </si>
  <si>
    <t>Sigma Ni</t>
  </si>
  <si>
    <t>Sigma yi</t>
  </si>
  <si>
    <t>Cumulative</t>
  </si>
  <si>
    <t>Solving Problems Above 80 % Cumulative frequency</t>
  </si>
  <si>
    <t>Total  Produced</t>
  </si>
  <si>
    <t xml:space="preserve">Total Defective </t>
  </si>
  <si>
    <t>Defect rate</t>
  </si>
  <si>
    <t>DPMO(3 opp/  Unit)</t>
  </si>
  <si>
    <t>GREEN: process remains within target/control limits; continue standard work.  YELLOW :deterioration or near-limit performance; supervisor review.  RED: target missed or special-cause signal; perform root-cause investigation, corrective action and effectiveness verification.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</si>
</sst>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i/>
      <sz val="11"/>
      <color rgb="FF666666"/>
      <name val="Calibri"/>
      <family val="2"/>
      <scheme val="minor"/>
    </font>
    <font>
      <b/>
      <sz val="11"/>
      <color rgb="FF404040"/>
      <name val="Calibri"/>
      <family val="2"/>
      <scheme val="minor"/>
    </font>
    <font>
      <b/>
      <sz val="12"/>
      <color rgb="FF40404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Times New Roman"/>
      <family val="1"/>
    </font>
    <font>
      <b/>
      <sz val="10"/>
      <name val="Arial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404040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A9D18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9" fontId="5" fillId="0" borderId="0" applyFont="0" applyFill="0" applyBorder="0" applyAlignment="0" applyProtection="0"/>
    <xf numFmtId="9" fontId="5" fillId="0" borderId="0"/>
  </cellStyleXfs>
  <cellXfs count="65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4" fillId="3" borderId="1" xfId="0" applyFont="1" applyFill="1" applyBorder="1"/>
    <xf numFmtId="0" fontId="0" fillId="0" borderId="1" xfId="0" applyBorder="1" applyAlignment="1">
      <alignment vertical="top" wrapText="1"/>
    </xf>
    <xf numFmtId="2" fontId="0" fillId="0" borderId="1" xfId="0" applyNumberFormat="1" applyBorder="1" applyAlignment="1">
      <alignment horizont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wrapText="1"/>
    </xf>
    <xf numFmtId="0" fontId="0" fillId="0" borderId="1" xfId="0" applyBorder="1" applyAlignment="1">
      <alignment vertical="top" wrapText="1"/>
    </xf>
    <xf numFmtId="0" fontId="4" fillId="4" borderId="1" xfId="0" applyFont="1" applyFill="1" applyBorder="1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0" xfId="0" applyBorder="1" applyAlignment="1">
      <alignment vertical="top"/>
    </xf>
    <xf numFmtId="0" fontId="0" fillId="0" borderId="0" xfId="0" applyBorder="1" applyAlignment="1">
      <alignment horizontal="center" vertical="top"/>
    </xf>
    <xf numFmtId="0" fontId="0" fillId="0" borderId="1" xfId="0" applyBorder="1" applyAlignment="1">
      <alignment horizontal="left" vertical="top"/>
    </xf>
    <xf numFmtId="0" fontId="4" fillId="3" borderId="1" xfId="0" applyFont="1" applyFill="1" applyBorder="1" applyAlignment="1"/>
    <xf numFmtId="0" fontId="0" fillId="0" borderId="0" xfId="0" applyAlignment="1"/>
    <xf numFmtId="0" fontId="4" fillId="4" borderId="1" xfId="0" applyFont="1" applyFill="1" applyBorder="1" applyAlignment="1"/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/>
    <xf numFmtId="0" fontId="0" fillId="0" borderId="0" xfId="0" applyBorder="1" applyAlignment="1"/>
    <xf numFmtId="0" fontId="0" fillId="0" borderId="0" xfId="0" applyBorder="1"/>
    <xf numFmtId="1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  <xf numFmtId="0" fontId="0" fillId="0" borderId="0" xfId="0" applyFill="1" applyBorder="1" applyAlignment="1"/>
    <xf numFmtId="0" fontId="4" fillId="0" borderId="0" xfId="0" applyFont="1" applyFill="1" applyBorder="1" applyAlignment="1"/>
    <xf numFmtId="0" fontId="0" fillId="0" borderId="0" xfId="0" applyFill="1" applyBorder="1"/>
    <xf numFmtId="0" fontId="3" fillId="0" borderId="0" xfId="0" applyFont="1" applyFill="1" applyBorder="1" applyAlignment="1">
      <alignment horizontal="center" vertical="center"/>
    </xf>
    <xf numFmtId="1" fontId="0" fillId="0" borderId="0" xfId="0" applyNumberFormat="1" applyFill="1" applyBorder="1" applyAlignment="1">
      <alignment horizontal="center"/>
    </xf>
    <xf numFmtId="10" fontId="0" fillId="0" borderId="0" xfId="0" applyNumberForma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0" fillId="0" borderId="4" xfId="0" applyBorder="1"/>
    <xf numFmtId="0" fontId="0" fillId="0" borderId="0" xfId="0"/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10" fontId="0" fillId="0" borderId="0" xfId="2" applyNumberFormat="1" applyFont="1"/>
    <xf numFmtId="0" fontId="9" fillId="0" borderId="0" xfId="0" applyFont="1" applyAlignment="1">
      <alignment horizontal="left" vertical="center"/>
    </xf>
    <xf numFmtId="1" fontId="0" fillId="0" borderId="0" xfId="0" applyNumberFormat="1"/>
    <xf numFmtId="0" fontId="0" fillId="0" borderId="1" xfId="0" applyBorder="1"/>
    <xf numFmtId="0" fontId="6" fillId="0" borderId="1" xfId="0" applyFont="1" applyBorder="1"/>
    <xf numFmtId="0" fontId="0" fillId="0" borderId="1" xfId="0" applyBorder="1"/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" fontId="0" fillId="0" borderId="0" xfId="0" applyNumberFormat="1" applyAlignment="1"/>
    <xf numFmtId="0" fontId="0" fillId="0" borderId="1" xfId="1" applyNumberFormat="1" applyFont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6" fillId="7" borderId="6" xfId="0" applyFont="1" applyFill="1" applyBorder="1" applyAlignment="1">
      <alignment horizontal="center"/>
    </xf>
    <xf numFmtId="0" fontId="0" fillId="0" borderId="0" xfId="0" applyFill="1" applyBorder="1" applyAlignment="1">
      <alignment vertical="top"/>
    </xf>
    <xf numFmtId="0" fontId="6" fillId="7" borderId="7" xfId="0" applyFont="1" applyFill="1" applyBorder="1" applyAlignment="1">
      <alignment horizontal="center"/>
    </xf>
    <xf numFmtId="0" fontId="0" fillId="5" borderId="1" xfId="0" applyFill="1" applyBorder="1" applyAlignment="1"/>
    <xf numFmtId="0" fontId="0" fillId="5" borderId="1" xfId="0" applyFill="1" applyBorder="1" applyAlignment="1"/>
    <xf numFmtId="0" fontId="0" fillId="0" borderId="8" xfId="0" applyBorder="1" applyAlignment="1">
      <alignment horizontal="center" vertical="top"/>
    </xf>
    <xf numFmtId="0" fontId="0" fillId="6" borderId="1" xfId="0" applyFill="1" applyBorder="1" applyAlignment="1"/>
    <xf numFmtId="0" fontId="0" fillId="0" borderId="0" xfId="0" applyFill="1" applyBorder="1" applyAlignment="1">
      <alignment vertical="top" wrapText="1"/>
    </xf>
    <xf numFmtId="0" fontId="3" fillId="0" borderId="0" xfId="0" applyFont="1" applyFill="1" applyBorder="1" applyAlignment="1">
      <alignment vertical="center"/>
    </xf>
    <xf numFmtId="0" fontId="4" fillId="4" borderId="9" xfId="0" applyFont="1" applyFill="1" applyBorder="1" applyAlignment="1"/>
  </cellXfs>
  <cellStyles count="3">
    <cellStyle name="Normal" xfId="0" builtinId="0"/>
    <cellStyle name="Percent" xfId="1" builtinId="5"/>
    <cellStyle name="Percent 2" xfId="2" xr:uid="{5CA16FA3-43BA-47E6-84CA-93D02CF0D5D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Control</a:t>
            </a:r>
            <a:r>
              <a:rPr lang="en-IN" baseline="0"/>
              <a:t> Chart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 MEASURE'!$H$26</c:f>
              <c:strCache>
                <c:ptCount val="1"/>
                <c:pt idx="0">
                  <c:v>Pi=yi/ni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'3 MEASURE'!$H$27:$H$54</c:f>
              <c:numCache>
                <c:formatCode>General</c:formatCode>
                <c:ptCount val="28"/>
                <c:pt idx="0">
                  <c:v>3.287671232876712E-2</c:v>
                </c:pt>
                <c:pt idx="1">
                  <c:v>6.0846560846560843E-2</c:v>
                </c:pt>
                <c:pt idx="2">
                  <c:v>4.8295454545454544E-2</c:v>
                </c:pt>
                <c:pt idx="3">
                  <c:v>6.8354430379746839E-2</c:v>
                </c:pt>
                <c:pt idx="4">
                  <c:v>4.0540540540540543E-2</c:v>
                </c:pt>
                <c:pt idx="5">
                  <c:v>5.8536585365853662E-2</c:v>
                </c:pt>
                <c:pt idx="6">
                  <c:v>3.6312849162011177E-2</c:v>
                </c:pt>
                <c:pt idx="7">
                  <c:v>9.3827160493827166E-2</c:v>
                </c:pt>
                <c:pt idx="8">
                  <c:v>5.2356020942408377E-2</c:v>
                </c:pt>
                <c:pt idx="9">
                  <c:v>7.2864321608040197E-2</c:v>
                </c:pt>
                <c:pt idx="10">
                  <c:v>3.8659793814432991E-2</c:v>
                </c:pt>
                <c:pt idx="11">
                  <c:v>5.5825242718446605E-2</c:v>
                </c:pt>
                <c:pt idx="12">
                  <c:v>4.3835616438356165E-2</c:v>
                </c:pt>
                <c:pt idx="13">
                  <c:v>6.9377990430622011E-2</c:v>
                </c:pt>
                <c:pt idx="14">
                  <c:v>1.4999999999999999E-2</c:v>
                </c:pt>
                <c:pt idx="15">
                  <c:v>5.8666666666666666E-2</c:v>
                </c:pt>
                <c:pt idx="16">
                  <c:v>4.9019607843137254E-2</c:v>
                </c:pt>
                <c:pt idx="17">
                  <c:v>3.591160220994475E-2</c:v>
                </c:pt>
                <c:pt idx="18">
                  <c:v>6.5060240963855417E-2</c:v>
                </c:pt>
                <c:pt idx="19">
                  <c:v>4.6153846153846156E-2</c:v>
                </c:pt>
                <c:pt idx="20">
                  <c:v>9.0909090909090912E-2</c:v>
                </c:pt>
                <c:pt idx="21">
                  <c:v>3.4946236559139782E-2</c:v>
                </c:pt>
                <c:pt idx="22">
                  <c:v>5.721393034825871E-2</c:v>
                </c:pt>
                <c:pt idx="23">
                  <c:v>4.8913043478260872E-2</c:v>
                </c:pt>
                <c:pt idx="24">
                  <c:v>6.3106796116504854E-2</c:v>
                </c:pt>
                <c:pt idx="25">
                  <c:v>4.1237113402061855E-2</c:v>
                </c:pt>
                <c:pt idx="26">
                  <c:v>5.185185185185185E-2</c:v>
                </c:pt>
                <c:pt idx="27">
                  <c:v>7.7889447236180909E-2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F4-4BC8-8824-17BD499D407B}"/>
            </c:ext>
          </c:extLst>
        </c:ser>
        <c:ser>
          <c:idx val="1"/>
          <c:order val="1"/>
          <c:tx>
            <c:strRef>
              <c:f>'3 MEASURE'!$I$26</c:f>
              <c:strCache>
                <c:ptCount val="1"/>
                <c:pt idx="0">
                  <c:v>P bar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'3 MEASURE'!$I$27:$I$54</c:f>
              <c:numCache>
                <c:formatCode>General</c:formatCode>
                <c:ptCount val="28"/>
                <c:pt idx="0">
                  <c:v>5.435878632321936E-2</c:v>
                </c:pt>
                <c:pt idx="1">
                  <c:v>5.435878632321936E-2</c:v>
                </c:pt>
                <c:pt idx="2">
                  <c:v>5.435878632321936E-2</c:v>
                </c:pt>
                <c:pt idx="3">
                  <c:v>5.435878632321936E-2</c:v>
                </c:pt>
                <c:pt idx="4">
                  <c:v>5.435878632321936E-2</c:v>
                </c:pt>
                <c:pt idx="5">
                  <c:v>5.435878632321936E-2</c:v>
                </c:pt>
                <c:pt idx="6">
                  <c:v>5.435878632321936E-2</c:v>
                </c:pt>
                <c:pt idx="7">
                  <c:v>5.435878632321936E-2</c:v>
                </c:pt>
                <c:pt idx="8">
                  <c:v>5.435878632321936E-2</c:v>
                </c:pt>
                <c:pt idx="9">
                  <c:v>5.435878632321936E-2</c:v>
                </c:pt>
                <c:pt idx="10">
                  <c:v>5.435878632321936E-2</c:v>
                </c:pt>
                <c:pt idx="11">
                  <c:v>5.435878632321936E-2</c:v>
                </c:pt>
                <c:pt idx="12">
                  <c:v>5.435878632321936E-2</c:v>
                </c:pt>
                <c:pt idx="13">
                  <c:v>5.435878632321936E-2</c:v>
                </c:pt>
                <c:pt idx="14">
                  <c:v>5.435878632321936E-2</c:v>
                </c:pt>
                <c:pt idx="15">
                  <c:v>5.435878632321936E-2</c:v>
                </c:pt>
                <c:pt idx="16">
                  <c:v>5.435878632321936E-2</c:v>
                </c:pt>
                <c:pt idx="17">
                  <c:v>5.435878632321936E-2</c:v>
                </c:pt>
                <c:pt idx="18">
                  <c:v>5.435878632321936E-2</c:v>
                </c:pt>
                <c:pt idx="19">
                  <c:v>5.435878632321936E-2</c:v>
                </c:pt>
                <c:pt idx="20">
                  <c:v>5.435878632321936E-2</c:v>
                </c:pt>
                <c:pt idx="21">
                  <c:v>5.435878632321936E-2</c:v>
                </c:pt>
                <c:pt idx="22">
                  <c:v>5.435878632321936E-2</c:v>
                </c:pt>
                <c:pt idx="23">
                  <c:v>5.435878632321936E-2</c:v>
                </c:pt>
                <c:pt idx="24">
                  <c:v>5.435878632321936E-2</c:v>
                </c:pt>
                <c:pt idx="25">
                  <c:v>5.435878632321936E-2</c:v>
                </c:pt>
                <c:pt idx="26">
                  <c:v>5.435878632321936E-2</c:v>
                </c:pt>
                <c:pt idx="27">
                  <c:v>5.435878632321936E-2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F4-4BC8-8824-17BD499D407B}"/>
            </c:ext>
          </c:extLst>
        </c:ser>
        <c:ser>
          <c:idx val="2"/>
          <c:order val="2"/>
          <c:tx>
            <c:strRef>
              <c:f>'3 MEASURE'!$K$26</c:f>
              <c:strCache>
                <c:ptCount val="1"/>
                <c:pt idx="0">
                  <c:v>LCL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'3 MEASURE'!$K$27:$K$54</c:f>
              <c:numCache>
                <c:formatCode>General</c:formatCode>
                <c:ptCount val="28"/>
                <c:pt idx="0">
                  <c:v>1.8756909427406904E-2</c:v>
                </c:pt>
                <c:pt idx="1">
                  <c:v>1.9374467158129072E-2</c:v>
                </c:pt>
                <c:pt idx="2">
                  <c:v>1.8105448778815987E-2</c:v>
                </c:pt>
                <c:pt idx="3">
                  <c:v>2.0135573457222611E-2</c:v>
                </c:pt>
                <c:pt idx="4">
                  <c:v>1.8998280867381194E-2</c:v>
                </c:pt>
                <c:pt idx="5">
                  <c:v>2.0767440963752742E-2</c:v>
                </c:pt>
                <c:pt idx="6">
                  <c:v>1.8410531377104439E-2</c:v>
                </c:pt>
                <c:pt idx="7">
                  <c:v>2.05607230412021E-2</c:v>
                </c:pt>
                <c:pt idx="8">
                  <c:v>1.9558113146613182E-2</c:v>
                </c:pt>
                <c:pt idx="9">
                  <c:v>2.0264799392094211E-2</c:v>
                </c:pt>
                <c:pt idx="10">
                  <c:v>1.9828238885838803E-2</c:v>
                </c:pt>
                <c:pt idx="11">
                  <c:v>2.0849072543373121E-2</c:v>
                </c:pt>
                <c:pt idx="12">
                  <c:v>1.8756909427406904E-2</c:v>
                </c:pt>
                <c:pt idx="13">
                  <c:v>2.1090442171193401E-2</c:v>
                </c:pt>
                <c:pt idx="14">
                  <c:v>2.0350141170325756E-2</c:v>
                </c:pt>
                <c:pt idx="15">
                  <c:v>1.9234808642090151E-2</c:v>
                </c:pt>
                <c:pt idx="16">
                  <c:v>2.0685209885116171E-2</c:v>
                </c:pt>
                <c:pt idx="17">
                  <c:v>1.8609692216774956E-2</c:v>
                </c:pt>
                <c:pt idx="18">
                  <c:v>2.0970411676101211E-2</c:v>
                </c:pt>
                <c:pt idx="19">
                  <c:v>1.9916892555704883E-2</c:v>
                </c:pt>
                <c:pt idx="20">
                  <c:v>2.1090442171193401E-2</c:v>
                </c:pt>
                <c:pt idx="21">
                  <c:v>1.9093464096440672E-2</c:v>
                </c:pt>
                <c:pt idx="22">
                  <c:v>2.043484527483639E-2</c:v>
                </c:pt>
                <c:pt idx="23">
                  <c:v>1.8902322738566429E-2</c:v>
                </c:pt>
                <c:pt idx="24">
                  <c:v>2.0849072543373121E-2</c:v>
                </c:pt>
                <c:pt idx="25">
                  <c:v>1.9828238885838803E-2</c:v>
                </c:pt>
                <c:pt idx="26">
                  <c:v>2.05607230412021E-2</c:v>
                </c:pt>
                <c:pt idx="27">
                  <c:v>2.0264799392094211E-2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F4-4BC8-8824-17BD499D407B}"/>
            </c:ext>
          </c:extLst>
        </c:ser>
        <c:ser>
          <c:idx val="3"/>
          <c:order val="3"/>
          <c:tx>
            <c:strRef>
              <c:f>'3 MEASURE'!$L$26</c:f>
              <c:strCache>
                <c:ptCount val="1"/>
                <c:pt idx="0">
                  <c:v>UCL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'3 MEASURE'!$L$27:$L$54</c:f>
              <c:numCache>
                <c:formatCode>General</c:formatCode>
                <c:ptCount val="28"/>
                <c:pt idx="0">
                  <c:v>8.9960663219031817E-2</c:v>
                </c:pt>
                <c:pt idx="1">
                  <c:v>8.9343105488309649E-2</c:v>
                </c:pt>
                <c:pt idx="2">
                  <c:v>9.061212386762274E-2</c:v>
                </c:pt>
                <c:pt idx="3">
                  <c:v>8.858199918921611E-2</c:v>
                </c:pt>
                <c:pt idx="4">
                  <c:v>8.971929177905752E-2</c:v>
                </c:pt>
                <c:pt idx="5">
                  <c:v>8.7950131682685978E-2</c:v>
                </c:pt>
                <c:pt idx="6">
                  <c:v>9.0307041269334282E-2</c:v>
                </c:pt>
                <c:pt idx="7">
                  <c:v>8.815684960523662E-2</c:v>
                </c:pt>
                <c:pt idx="8">
                  <c:v>8.9159459499825539E-2</c:v>
                </c:pt>
                <c:pt idx="9">
                  <c:v>8.8452773254344502E-2</c:v>
                </c:pt>
                <c:pt idx="10">
                  <c:v>8.8889333760599917E-2</c:v>
                </c:pt>
                <c:pt idx="11">
                  <c:v>8.78685001030656E-2</c:v>
                </c:pt>
                <c:pt idx="12">
                  <c:v>8.9960663219031817E-2</c:v>
                </c:pt>
                <c:pt idx="13">
                  <c:v>8.7627130475245313E-2</c:v>
                </c:pt>
                <c:pt idx="14">
                  <c:v>8.8367431476112965E-2</c:v>
                </c:pt>
                <c:pt idx="15">
                  <c:v>8.9482764004348569E-2</c:v>
                </c:pt>
                <c:pt idx="16">
                  <c:v>8.803236276132255E-2</c:v>
                </c:pt>
                <c:pt idx="17">
                  <c:v>9.0107880429663764E-2</c:v>
                </c:pt>
                <c:pt idx="18">
                  <c:v>8.7747160970337509E-2</c:v>
                </c:pt>
                <c:pt idx="19">
                  <c:v>8.880068009073383E-2</c:v>
                </c:pt>
                <c:pt idx="20">
                  <c:v>8.7627130475245313E-2</c:v>
                </c:pt>
                <c:pt idx="21">
                  <c:v>8.9624108549998055E-2</c:v>
                </c:pt>
                <c:pt idx="22">
                  <c:v>8.8282727371602338E-2</c:v>
                </c:pt>
                <c:pt idx="23">
                  <c:v>8.9815249907872291E-2</c:v>
                </c:pt>
                <c:pt idx="24">
                  <c:v>8.78685001030656E-2</c:v>
                </c:pt>
                <c:pt idx="25">
                  <c:v>8.8889333760599917E-2</c:v>
                </c:pt>
                <c:pt idx="26">
                  <c:v>8.815684960523662E-2</c:v>
                </c:pt>
                <c:pt idx="27">
                  <c:v>8.8452773254344502E-2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0F4-4BC8-8824-17BD499D40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3354704"/>
        <c:axId val="967207440"/>
      </c:lineChart>
      <c:catAx>
        <c:axId val="1063354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7207440"/>
        <c:crosses val="autoZero"/>
        <c:auto val="1"/>
        <c:lblAlgn val="ctr"/>
        <c:lblOffset val="100"/>
        <c:noMultiLvlLbl val="0"/>
      </c:catAx>
      <c:valAx>
        <c:axId val="96720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3354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 MEASURE'!$C$14</c:f>
              <c:strCache>
                <c:ptCount val="1"/>
                <c:pt idx="0">
                  <c:v>Defect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'3 MEASURE'!$C$15:$C$17</c:f>
              <c:numCache>
                <c:formatCode>0</c:formatCode>
                <c:ptCount val="3"/>
                <c:pt idx="0">
                  <c:v>277</c:v>
                </c:pt>
                <c:pt idx="1">
                  <c:v>178</c:v>
                </c:pt>
                <c:pt idx="2">
                  <c:v>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F7-4740-888F-A9066E90FB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7502576"/>
        <c:axId val="596189872"/>
      </c:barChart>
      <c:lineChart>
        <c:grouping val="standard"/>
        <c:varyColors val="0"/>
        <c:ser>
          <c:idx val="1"/>
          <c:order val="1"/>
          <c:tx>
            <c:strRef>
              <c:f>'3 MEASURE'!$E$14</c:f>
              <c:strCache>
                <c:ptCount val="1"/>
                <c:pt idx="0">
                  <c:v>Cumulative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'3 MEASURE'!$E$15:$E$17</c:f>
              <c:numCache>
                <c:formatCode>0.00%</c:formatCode>
                <c:ptCount val="3"/>
                <c:pt idx="0">
                  <c:v>0.46711635750421587</c:v>
                </c:pt>
                <c:pt idx="1">
                  <c:v>0.76728499156829677</c:v>
                </c:pt>
                <c:pt idx="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F7-4740-888F-A9066E90FB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7471952"/>
        <c:axId val="596190832"/>
      </c:lineChart>
      <c:catAx>
        <c:axId val="12174719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190832"/>
        <c:crosses val="autoZero"/>
        <c:auto val="1"/>
        <c:lblAlgn val="ctr"/>
        <c:lblOffset val="100"/>
        <c:noMultiLvlLbl val="0"/>
      </c:catAx>
      <c:valAx>
        <c:axId val="59619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7471952"/>
        <c:crosses val="autoZero"/>
        <c:crossBetween val="between"/>
      </c:valAx>
      <c:valAx>
        <c:axId val="596189872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7502576"/>
        <c:crosses val="max"/>
        <c:crossBetween val="between"/>
      </c:valAx>
      <c:catAx>
        <c:axId val="1217502576"/>
        <c:scaling>
          <c:orientation val="minMax"/>
        </c:scaling>
        <c:delete val="1"/>
        <c:axPos val="b"/>
        <c:majorTickMark val="out"/>
        <c:minorTickMark val="none"/>
        <c:tickLblPos val="nextTo"/>
        <c:crossAx val="596189872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300317</xdr:colOff>
      <xdr:row>28</xdr:row>
      <xdr:rowOff>107577</xdr:rowOff>
    </xdr:from>
    <xdr:to>
      <xdr:col>19</xdr:col>
      <xdr:colOff>380999</xdr:colOff>
      <xdr:row>43</xdr:row>
      <xdr:rowOff>161365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DAA50CD-D9DA-B875-F660-D541574EF5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273423</xdr:colOff>
      <xdr:row>3</xdr:row>
      <xdr:rowOff>134471</xdr:rowOff>
    </xdr:from>
    <xdr:to>
      <xdr:col>13</xdr:col>
      <xdr:colOff>273423</xdr:colOff>
      <xdr:row>18</xdr:row>
      <xdr:rowOff>170330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D14A2CA-6CB3-9DF5-3123-2932355EA4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66873</xdr:colOff>
      <xdr:row>16</xdr:row>
      <xdr:rowOff>133684</xdr:rowOff>
    </xdr:from>
    <xdr:to>
      <xdr:col>8</xdr:col>
      <xdr:colOff>414452</xdr:colOff>
      <xdr:row>18</xdr:row>
      <xdr:rowOff>26737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C5EDEF30-400D-340D-C50C-A552BEF3110D}"/>
            </a:ext>
          </a:extLst>
        </xdr:cNvPr>
        <xdr:cNvSpPr/>
      </xdr:nvSpPr>
      <xdr:spPr>
        <a:xfrm>
          <a:off x="66873" y="3235158"/>
          <a:ext cx="15453895" cy="267368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374346</xdr:colOff>
      <xdr:row>8</xdr:row>
      <xdr:rowOff>93578</xdr:rowOff>
    </xdr:from>
    <xdr:to>
      <xdr:col>1</xdr:col>
      <xdr:colOff>1336872</xdr:colOff>
      <xdr:row>16</xdr:row>
      <xdr:rowOff>40104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EF12009F-C9D8-4B09-96EA-E395D01750F5}"/>
            </a:ext>
          </a:extLst>
        </xdr:cNvPr>
        <xdr:cNvSpPr/>
      </xdr:nvSpPr>
      <xdr:spPr>
        <a:xfrm>
          <a:off x="374346" y="1697789"/>
          <a:ext cx="3275263" cy="1443789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MACHINE</a:t>
          </a:r>
        </a:p>
        <a:p>
          <a:pPr algn="l"/>
          <a:endParaRPr lang="en-IN" sz="1100"/>
        </a:p>
        <a:p>
          <a:pPr algn="l"/>
          <a:r>
            <a:rPr lang="en-IN" sz="1100"/>
            <a:t>Tool wear</a:t>
          </a:r>
        </a:p>
        <a:p>
          <a:pPr algn="l"/>
          <a:r>
            <a:rPr lang="en-IN" sz="1100"/>
            <a:t>Paint equipment variation</a:t>
          </a:r>
        </a:p>
        <a:p>
          <a:pPr algn="l"/>
          <a:r>
            <a:rPr lang="en-IN" sz="1100"/>
            <a:t>Maintenance / calibration</a:t>
          </a:r>
        </a:p>
      </xdr:txBody>
    </xdr:sp>
    <xdr:clientData/>
  </xdr:twoCellAnchor>
  <xdr:twoCellAnchor>
    <xdr:from>
      <xdr:col>8</xdr:col>
      <xdr:colOff>647062</xdr:colOff>
      <xdr:row>13</xdr:row>
      <xdr:rowOff>112295</xdr:rowOff>
    </xdr:from>
    <xdr:to>
      <xdr:col>10</xdr:col>
      <xdr:colOff>58852</xdr:colOff>
      <xdr:row>21</xdr:row>
      <xdr:rowOff>58821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5209E52F-62C9-4D6C-A87F-52E0FE2A2B52}"/>
            </a:ext>
          </a:extLst>
        </xdr:cNvPr>
        <xdr:cNvSpPr/>
      </xdr:nvSpPr>
      <xdr:spPr>
        <a:xfrm>
          <a:off x="15753378" y="2652295"/>
          <a:ext cx="3275263" cy="1443789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800" b="1"/>
            <a:t>HIGH MANUFACTURING DEFECT RATE</a:t>
          </a:r>
        </a:p>
      </xdr:txBody>
    </xdr:sp>
    <xdr:clientData/>
  </xdr:twoCellAnchor>
  <xdr:twoCellAnchor>
    <xdr:from>
      <xdr:col>0</xdr:col>
      <xdr:colOff>264726</xdr:colOff>
      <xdr:row>18</xdr:row>
      <xdr:rowOff>184485</xdr:rowOff>
    </xdr:from>
    <xdr:to>
      <xdr:col>1</xdr:col>
      <xdr:colOff>1227252</xdr:colOff>
      <xdr:row>25</xdr:row>
      <xdr:rowOff>120316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9CD7658D-38EC-4F58-958F-97882F942B2D}"/>
            </a:ext>
          </a:extLst>
        </xdr:cNvPr>
        <xdr:cNvSpPr/>
      </xdr:nvSpPr>
      <xdr:spPr>
        <a:xfrm>
          <a:off x="264726" y="3660274"/>
          <a:ext cx="3275263" cy="1245937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MAN</a:t>
          </a:r>
        </a:p>
        <a:p>
          <a:pPr algn="l"/>
          <a:endParaRPr lang="en-IN" sz="1100"/>
        </a:p>
        <a:p>
          <a:pPr algn="l"/>
          <a:r>
            <a:rPr lang="en-IN" sz="1100"/>
            <a:t>Operator technique</a:t>
          </a:r>
        </a:p>
        <a:p>
          <a:pPr algn="l"/>
          <a:r>
            <a:rPr lang="en-IN" sz="1100"/>
            <a:t>Training / experience</a:t>
          </a:r>
        </a:p>
        <a:p>
          <a:pPr algn="l"/>
          <a:r>
            <a:rPr lang="en-IN" sz="1100"/>
            <a:t>Fatigue / handover</a:t>
          </a:r>
        </a:p>
      </xdr:txBody>
    </xdr:sp>
    <xdr:clientData/>
  </xdr:twoCellAnchor>
  <xdr:twoCellAnchor>
    <xdr:from>
      <xdr:col>2</xdr:col>
      <xdr:colOff>430494</xdr:colOff>
      <xdr:row>18</xdr:row>
      <xdr:rowOff>176464</xdr:rowOff>
    </xdr:from>
    <xdr:to>
      <xdr:col>3</xdr:col>
      <xdr:colOff>938494</xdr:colOff>
      <xdr:row>26</xdr:row>
      <xdr:rowOff>26737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5579CF5D-0F7E-4E24-B740-3505E3AFD74F}"/>
            </a:ext>
          </a:extLst>
        </xdr:cNvPr>
        <xdr:cNvSpPr/>
      </xdr:nvSpPr>
      <xdr:spPr>
        <a:xfrm>
          <a:off x="5323336" y="3652253"/>
          <a:ext cx="3275263" cy="1347537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METHOD</a:t>
          </a:r>
        </a:p>
        <a:p>
          <a:pPr algn="l"/>
          <a:endParaRPr lang="en-IN" sz="1100"/>
        </a:p>
        <a:p>
          <a:pPr algn="l"/>
          <a:r>
            <a:rPr lang="en-IN" sz="1100"/>
            <a:t>Paint quantity / coats</a:t>
          </a:r>
        </a:p>
        <a:p>
          <a:pPr algn="l"/>
          <a:r>
            <a:rPr lang="en-IN" sz="1100"/>
            <a:t>Drying time</a:t>
          </a:r>
        </a:p>
        <a:p>
          <a:pPr algn="l"/>
          <a:r>
            <a:rPr lang="en-IN" sz="1100"/>
            <a:t>Assembly sequence</a:t>
          </a:r>
        </a:p>
        <a:p>
          <a:pPr algn="l"/>
          <a:r>
            <a:rPr lang="en-IN" sz="1100"/>
            <a:t>First-piece approval</a:t>
          </a:r>
        </a:p>
      </xdr:txBody>
    </xdr:sp>
    <xdr:clientData/>
  </xdr:twoCellAnchor>
  <xdr:twoCellAnchor>
    <xdr:from>
      <xdr:col>2</xdr:col>
      <xdr:colOff>382368</xdr:colOff>
      <xdr:row>8</xdr:row>
      <xdr:rowOff>114968</xdr:rowOff>
    </xdr:from>
    <xdr:to>
      <xdr:col>3</xdr:col>
      <xdr:colOff>890368</xdr:colOff>
      <xdr:row>16</xdr:row>
      <xdr:rowOff>61494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6C38C3EF-577A-44D7-8846-E0597AF64857}"/>
            </a:ext>
          </a:extLst>
        </xdr:cNvPr>
        <xdr:cNvSpPr/>
      </xdr:nvSpPr>
      <xdr:spPr>
        <a:xfrm>
          <a:off x="5275210" y="1719179"/>
          <a:ext cx="3275263" cy="1443789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MATERIAL</a:t>
          </a:r>
        </a:p>
        <a:p>
          <a:pPr algn="l"/>
          <a:endParaRPr lang="en-IN" sz="1100"/>
        </a:p>
        <a:p>
          <a:pPr algn="l"/>
          <a:r>
            <a:rPr lang="en-IN" sz="1100"/>
            <a:t>Wood condition / moisture</a:t>
          </a:r>
        </a:p>
        <a:p>
          <a:pPr algn="l"/>
          <a:r>
            <a:rPr lang="en-IN" sz="1100"/>
            <a:t>Paint viscosity / batch</a:t>
          </a:r>
        </a:p>
        <a:p>
          <a:pPr algn="l"/>
          <a:r>
            <a:rPr lang="en-IN" sz="1100"/>
            <a:t>Adhesive consistency</a:t>
          </a:r>
        </a:p>
      </xdr:txBody>
    </xdr:sp>
    <xdr:clientData/>
  </xdr:twoCellAnchor>
  <xdr:twoCellAnchor>
    <xdr:from>
      <xdr:col>3</xdr:col>
      <xdr:colOff>2633610</xdr:colOff>
      <xdr:row>18</xdr:row>
      <xdr:rowOff>147054</xdr:rowOff>
    </xdr:from>
    <xdr:to>
      <xdr:col>4</xdr:col>
      <xdr:colOff>2179083</xdr:colOff>
      <xdr:row>26</xdr:row>
      <xdr:rowOff>93579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62E00681-C5C2-4E48-9692-58DF58923953}"/>
            </a:ext>
          </a:extLst>
        </xdr:cNvPr>
        <xdr:cNvSpPr/>
      </xdr:nvSpPr>
      <xdr:spPr>
        <a:xfrm>
          <a:off x="10293715" y="3622843"/>
          <a:ext cx="3275263" cy="1443789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ENVIRONMENT</a:t>
          </a:r>
        </a:p>
        <a:p>
          <a:pPr algn="l"/>
          <a:endParaRPr lang="en-IN" sz="1100"/>
        </a:p>
        <a:p>
          <a:pPr algn="l"/>
          <a:r>
            <a:rPr lang="en-IN" sz="1100"/>
            <a:t>Dust / cleanliness</a:t>
          </a:r>
        </a:p>
        <a:p>
          <a:pPr algn="l"/>
          <a:r>
            <a:rPr lang="en-IN" sz="1100"/>
            <a:t>Temperature / humidity</a:t>
          </a:r>
        </a:p>
        <a:p>
          <a:pPr algn="l"/>
          <a:r>
            <a:rPr lang="en-IN" sz="1100"/>
            <a:t>Workstation conditions</a:t>
          </a:r>
        </a:p>
      </xdr:txBody>
    </xdr:sp>
    <xdr:clientData/>
  </xdr:twoCellAnchor>
  <xdr:twoCellAnchor>
    <xdr:from>
      <xdr:col>3</xdr:col>
      <xdr:colOff>2625589</xdr:colOff>
      <xdr:row>8</xdr:row>
      <xdr:rowOff>85557</xdr:rowOff>
    </xdr:from>
    <xdr:to>
      <xdr:col>4</xdr:col>
      <xdr:colOff>2171062</xdr:colOff>
      <xdr:row>16</xdr:row>
      <xdr:rowOff>32083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844FD0D7-1D74-467B-977F-2B426E3156BC}"/>
            </a:ext>
          </a:extLst>
        </xdr:cNvPr>
        <xdr:cNvSpPr/>
      </xdr:nvSpPr>
      <xdr:spPr>
        <a:xfrm>
          <a:off x="10285694" y="1689768"/>
          <a:ext cx="3275263" cy="1443789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MEASUREMENT</a:t>
          </a:r>
        </a:p>
        <a:p>
          <a:pPr algn="l"/>
          <a:endParaRPr lang="en-IN" sz="1100"/>
        </a:p>
        <a:p>
          <a:pPr algn="l"/>
          <a:r>
            <a:rPr lang="en-IN" sz="1100"/>
            <a:t>Defect classification</a:t>
          </a:r>
        </a:p>
        <a:p>
          <a:pPr algn="l"/>
          <a:r>
            <a:rPr lang="en-IN" sz="1100"/>
            <a:t>Inspection consistency</a:t>
          </a:r>
        </a:p>
        <a:p>
          <a:pPr algn="l"/>
          <a:r>
            <a:rPr lang="en-IN" sz="1100"/>
            <a:t>Recording accuracy</a:t>
          </a:r>
        </a:p>
      </xdr:txBody>
    </xdr:sp>
    <xdr:clientData/>
  </xdr:twoCellAnchor>
  <xdr:twoCellAnchor>
    <xdr:from>
      <xdr:col>1</xdr:col>
      <xdr:colOff>636233</xdr:colOff>
      <xdr:row>12</xdr:row>
      <xdr:rowOff>44389</xdr:rowOff>
    </xdr:from>
    <xdr:to>
      <xdr:col>1</xdr:col>
      <xdr:colOff>1383437</xdr:colOff>
      <xdr:row>17</xdr:row>
      <xdr:rowOff>14796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39858E2D-28EE-4FF4-A8A3-A98480C5B718}"/>
            </a:ext>
          </a:extLst>
        </xdr:cNvPr>
        <xdr:cNvCxnSpPr/>
      </xdr:nvCxnSpPr>
      <xdr:spPr>
        <a:xfrm>
          <a:off x="2951825" y="2374777"/>
          <a:ext cx="747204" cy="89516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995779</xdr:colOff>
      <xdr:row>11</xdr:row>
      <xdr:rowOff>174595</xdr:rowOff>
    </xdr:from>
    <xdr:to>
      <xdr:col>4</xdr:col>
      <xdr:colOff>1742983</xdr:colOff>
      <xdr:row>16</xdr:row>
      <xdr:rowOff>145003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82D3C138-50E6-4CE8-A8F4-20C29B43CF65}"/>
            </a:ext>
          </a:extLst>
        </xdr:cNvPr>
        <xdr:cNvCxnSpPr/>
      </xdr:nvCxnSpPr>
      <xdr:spPr>
        <a:xfrm>
          <a:off x="12381391" y="2320032"/>
          <a:ext cx="747204" cy="89516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2760954</xdr:colOff>
      <xdr:row>12</xdr:row>
      <xdr:rowOff>16277</xdr:rowOff>
    </xdr:from>
    <xdr:to>
      <xdr:col>3</xdr:col>
      <xdr:colOff>741285</xdr:colOff>
      <xdr:row>16</xdr:row>
      <xdr:rowOff>171636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A4C43AB9-7B3A-4511-BFE6-125F864C02FF}"/>
            </a:ext>
          </a:extLst>
        </xdr:cNvPr>
        <xdr:cNvCxnSpPr/>
      </xdr:nvCxnSpPr>
      <xdr:spPr>
        <a:xfrm>
          <a:off x="7651071" y="2346665"/>
          <a:ext cx="747204" cy="89516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295923</xdr:colOff>
      <xdr:row>17</xdr:row>
      <xdr:rowOff>170155</xdr:rowOff>
    </xdr:from>
    <xdr:to>
      <xdr:col>1</xdr:col>
      <xdr:colOff>1383437</xdr:colOff>
      <xdr:row>21</xdr:row>
      <xdr:rowOff>14797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6945D1F7-E661-9349-3AEA-D7A6A941C520}"/>
            </a:ext>
          </a:extLst>
        </xdr:cNvPr>
        <xdr:cNvCxnSpPr/>
      </xdr:nvCxnSpPr>
      <xdr:spPr>
        <a:xfrm flipV="1">
          <a:off x="2611515" y="3425301"/>
          <a:ext cx="1087514" cy="58444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788633</xdr:colOff>
      <xdr:row>18</xdr:row>
      <xdr:rowOff>41429</xdr:rowOff>
    </xdr:from>
    <xdr:to>
      <xdr:col>4</xdr:col>
      <xdr:colOff>1876147</xdr:colOff>
      <xdr:row>21</xdr:row>
      <xdr:rowOff>71022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BB069FC7-141D-4421-8BE3-A59C786DACA4}"/>
            </a:ext>
          </a:extLst>
        </xdr:cNvPr>
        <xdr:cNvCxnSpPr/>
      </xdr:nvCxnSpPr>
      <xdr:spPr>
        <a:xfrm flipV="1">
          <a:off x="12174245" y="3481526"/>
          <a:ext cx="1087514" cy="58444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2302275</xdr:colOff>
      <xdr:row>18</xdr:row>
      <xdr:rowOff>31072</xdr:rowOff>
    </xdr:from>
    <xdr:to>
      <xdr:col>3</xdr:col>
      <xdr:colOff>622916</xdr:colOff>
      <xdr:row>21</xdr:row>
      <xdr:rowOff>60665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30B6AA13-2FDB-4B28-A1E8-E5291DB48AE4}"/>
            </a:ext>
          </a:extLst>
        </xdr:cNvPr>
        <xdr:cNvCxnSpPr/>
      </xdr:nvCxnSpPr>
      <xdr:spPr>
        <a:xfrm flipV="1">
          <a:off x="7192392" y="3471169"/>
          <a:ext cx="1087514" cy="58444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"/>
  <sheetViews>
    <sheetView tabSelected="1" topLeftCell="A16" zoomScale="90" zoomScaleNormal="90" workbookViewId="0">
      <selection activeCell="M11" sqref="M11"/>
    </sheetView>
  </sheetViews>
  <sheetFormatPr defaultRowHeight="14.4" x14ac:dyDescent="0.3"/>
  <cols>
    <col min="1" max="1" width="10.6640625" customWidth="1"/>
    <col min="2" max="3" width="15.6640625" customWidth="1"/>
    <col min="4" max="6" width="18.6640625" customWidth="1"/>
    <col min="7" max="8" width="14.6640625" customWidth="1"/>
    <col min="12" max="12" width="18.109375" bestFit="1" customWidth="1"/>
  </cols>
  <sheetData>
    <row r="1" spans="1:13" ht="21" x14ac:dyDescent="0.3">
      <c r="A1" s="12" t="s">
        <v>220</v>
      </c>
      <c r="B1" s="12"/>
      <c r="C1" s="12"/>
      <c r="D1" s="12"/>
      <c r="E1" s="12"/>
      <c r="F1" s="12"/>
      <c r="G1" s="12"/>
      <c r="H1" s="12"/>
    </row>
    <row r="2" spans="1:13" x14ac:dyDescent="0.3">
      <c r="A2" s="9"/>
      <c r="B2" s="9"/>
      <c r="C2" s="9"/>
      <c r="D2" s="9"/>
      <c r="E2" s="9"/>
      <c r="F2" s="9"/>
      <c r="G2" s="9"/>
      <c r="H2" s="9"/>
    </row>
    <row r="4" spans="1:13" x14ac:dyDescent="0.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2" t="s">
        <v>6</v>
      </c>
      <c r="H4" s="2" t="s">
        <v>7</v>
      </c>
    </row>
    <row r="5" spans="1:13" x14ac:dyDescent="0.3">
      <c r="A5" s="3">
        <v>1</v>
      </c>
      <c r="B5" s="3">
        <v>365</v>
      </c>
      <c r="C5" s="3">
        <v>12</v>
      </c>
      <c r="D5" s="3">
        <v>3</v>
      </c>
      <c r="E5" s="3">
        <v>5</v>
      </c>
      <c r="F5" s="3">
        <v>4</v>
      </c>
      <c r="G5" s="4">
        <v>3.287671232876712E-2</v>
      </c>
      <c r="H5" s="4">
        <v>0.9671232876712329</v>
      </c>
    </row>
    <row r="6" spans="1:13" x14ac:dyDescent="0.3">
      <c r="A6" s="3">
        <v>2</v>
      </c>
      <c r="B6" s="3">
        <v>378</v>
      </c>
      <c r="C6" s="3">
        <v>23</v>
      </c>
      <c r="D6" s="3">
        <v>6</v>
      </c>
      <c r="E6" s="3">
        <v>9</v>
      </c>
      <c r="F6" s="3">
        <v>8</v>
      </c>
      <c r="G6" s="4">
        <v>6.0846560846560843E-2</v>
      </c>
      <c r="H6" s="4">
        <v>0.93915343915343918</v>
      </c>
    </row>
    <row r="7" spans="1:13" x14ac:dyDescent="0.3">
      <c r="A7" s="3">
        <v>3</v>
      </c>
      <c r="B7" s="3">
        <v>352</v>
      </c>
      <c r="C7" s="3">
        <v>17</v>
      </c>
      <c r="D7" s="3">
        <v>5</v>
      </c>
      <c r="E7" s="3">
        <v>8</v>
      </c>
      <c r="F7" s="3">
        <v>4</v>
      </c>
      <c r="G7" s="4">
        <v>4.8295454545454537E-2</v>
      </c>
      <c r="H7" s="4">
        <v>0.95170454545454541</v>
      </c>
      <c r="L7" s="42" t="s">
        <v>241</v>
      </c>
      <c r="M7" s="45">
        <f>B33</f>
        <v>10909</v>
      </c>
    </row>
    <row r="8" spans="1:13" x14ac:dyDescent="0.3">
      <c r="A8" s="3">
        <v>4</v>
      </c>
      <c r="B8" s="3">
        <v>395</v>
      </c>
      <c r="C8" s="3">
        <v>27</v>
      </c>
      <c r="D8" s="3">
        <v>6</v>
      </c>
      <c r="E8" s="3">
        <v>12</v>
      </c>
      <c r="F8" s="3">
        <v>9</v>
      </c>
      <c r="G8" s="4">
        <v>6.8354430379746839E-2</v>
      </c>
      <c r="H8" s="4">
        <v>0.93164556962025313</v>
      </c>
      <c r="L8" s="42" t="s">
        <v>242</v>
      </c>
      <c r="M8" s="45">
        <f>C33</f>
        <v>593</v>
      </c>
    </row>
    <row r="9" spans="1:13" x14ac:dyDescent="0.3">
      <c r="A9" s="3">
        <v>5</v>
      </c>
      <c r="B9" s="3">
        <v>370</v>
      </c>
      <c r="C9" s="3">
        <v>15</v>
      </c>
      <c r="D9" s="3">
        <v>3</v>
      </c>
      <c r="E9" s="3">
        <v>7</v>
      </c>
      <c r="F9" s="3">
        <v>5</v>
      </c>
      <c r="G9" s="4">
        <v>4.0540540540540543E-2</v>
      </c>
      <c r="H9" s="4">
        <v>0.95945945945945943</v>
      </c>
      <c r="L9" s="44" t="s">
        <v>243</v>
      </c>
      <c r="M9" s="43">
        <f>M8/M7</f>
        <v>5.435878632321936E-2</v>
      </c>
    </row>
    <row r="10" spans="1:13" x14ac:dyDescent="0.3">
      <c r="A10" s="3">
        <v>6</v>
      </c>
      <c r="B10" s="3">
        <v>410</v>
      </c>
      <c r="C10" s="3">
        <v>24</v>
      </c>
      <c r="D10" s="3">
        <v>5</v>
      </c>
      <c r="E10" s="3">
        <v>12</v>
      </c>
      <c r="F10" s="3">
        <v>7</v>
      </c>
      <c r="G10" s="4">
        <v>5.8536585365853662E-2</v>
      </c>
      <c r="H10" s="4">
        <v>0.94146341463414629</v>
      </c>
      <c r="L10" s="41" t="s">
        <v>244</v>
      </c>
      <c r="M10" s="45">
        <f>1000000*M9/3</f>
        <v>18119.595441073121</v>
      </c>
    </row>
    <row r="11" spans="1:13" x14ac:dyDescent="0.3">
      <c r="A11" s="3">
        <v>7</v>
      </c>
      <c r="B11" s="3">
        <v>358</v>
      </c>
      <c r="C11" s="3">
        <v>13</v>
      </c>
      <c r="D11" s="3">
        <v>3</v>
      </c>
      <c r="E11" s="3">
        <v>6</v>
      </c>
      <c r="F11" s="3">
        <v>4</v>
      </c>
      <c r="G11" s="4">
        <v>3.6312849162011183E-2</v>
      </c>
      <c r="H11" s="4">
        <v>0.96368715083798884</v>
      </c>
    </row>
    <row r="12" spans="1:13" x14ac:dyDescent="0.3">
      <c r="A12" s="3">
        <v>8</v>
      </c>
      <c r="B12" s="3">
        <v>405</v>
      </c>
      <c r="C12" s="3">
        <v>38</v>
      </c>
      <c r="D12" s="3">
        <v>9</v>
      </c>
      <c r="E12" s="3">
        <v>18</v>
      </c>
      <c r="F12" s="3">
        <v>11</v>
      </c>
      <c r="G12" s="4">
        <v>9.3827160493827166E-2</v>
      </c>
      <c r="H12" s="4">
        <v>0.90617283950617278</v>
      </c>
    </row>
    <row r="13" spans="1:13" x14ac:dyDescent="0.3">
      <c r="A13" s="3">
        <v>9</v>
      </c>
      <c r="B13" s="3">
        <v>382</v>
      </c>
      <c r="C13" s="3">
        <v>20</v>
      </c>
      <c r="D13" s="3">
        <v>5</v>
      </c>
      <c r="E13" s="3">
        <v>8</v>
      </c>
      <c r="F13" s="3">
        <v>7</v>
      </c>
      <c r="G13" s="4">
        <v>5.2356020942408377E-2</v>
      </c>
      <c r="H13" s="4">
        <v>0.94764397905759168</v>
      </c>
    </row>
    <row r="14" spans="1:13" x14ac:dyDescent="0.3">
      <c r="A14" s="3">
        <v>10</v>
      </c>
      <c r="B14" s="3">
        <v>398</v>
      </c>
      <c r="C14" s="3">
        <v>29</v>
      </c>
      <c r="D14" s="3">
        <v>7</v>
      </c>
      <c r="E14" s="3">
        <v>14</v>
      </c>
      <c r="F14" s="3">
        <v>8</v>
      </c>
      <c r="G14" s="4">
        <v>7.2864321608040197E-2</v>
      </c>
      <c r="H14" s="4">
        <v>0.92713567839195976</v>
      </c>
    </row>
    <row r="15" spans="1:13" x14ac:dyDescent="0.3">
      <c r="A15" s="3">
        <v>11</v>
      </c>
      <c r="B15" s="3">
        <v>388</v>
      </c>
      <c r="C15" s="3">
        <v>15</v>
      </c>
      <c r="D15" s="3">
        <v>3</v>
      </c>
      <c r="E15" s="3">
        <v>7</v>
      </c>
      <c r="F15" s="3">
        <v>5</v>
      </c>
      <c r="G15" s="4">
        <v>3.8659793814432991E-2</v>
      </c>
      <c r="H15" s="4">
        <v>0.96134020618556704</v>
      </c>
    </row>
    <row r="16" spans="1:13" x14ac:dyDescent="0.3">
      <c r="A16" s="3">
        <v>12</v>
      </c>
      <c r="B16" s="3">
        <v>412</v>
      </c>
      <c r="C16" s="3">
        <v>23</v>
      </c>
      <c r="D16" s="3">
        <v>6</v>
      </c>
      <c r="E16" s="3">
        <v>10</v>
      </c>
      <c r="F16" s="3">
        <v>7</v>
      </c>
      <c r="G16" s="4">
        <v>5.5825242718446598E-2</v>
      </c>
      <c r="H16" s="4">
        <v>0.94417475728155342</v>
      </c>
    </row>
    <row r="17" spans="1:8" x14ac:dyDescent="0.3">
      <c r="A17" s="3">
        <v>13</v>
      </c>
      <c r="B17" s="3">
        <v>365</v>
      </c>
      <c r="C17" s="3">
        <v>16</v>
      </c>
      <c r="D17" s="3">
        <v>4</v>
      </c>
      <c r="E17" s="3">
        <v>7</v>
      </c>
      <c r="F17" s="3">
        <v>5</v>
      </c>
      <c r="G17" s="4">
        <v>4.3835616438356158E-2</v>
      </c>
      <c r="H17" s="4">
        <v>0.95616438356164379</v>
      </c>
    </row>
    <row r="18" spans="1:8" x14ac:dyDescent="0.3">
      <c r="A18" s="3">
        <v>14</v>
      </c>
      <c r="B18" s="3">
        <v>418</v>
      </c>
      <c r="C18" s="3">
        <v>29</v>
      </c>
      <c r="D18" s="3">
        <v>8</v>
      </c>
      <c r="E18" s="3">
        <v>13</v>
      </c>
      <c r="F18" s="3">
        <v>8</v>
      </c>
      <c r="G18" s="4">
        <v>6.9377990430622011E-2</v>
      </c>
      <c r="H18" s="4">
        <v>0.93062200956937802</v>
      </c>
    </row>
    <row r="19" spans="1:8" x14ac:dyDescent="0.3">
      <c r="A19" s="3">
        <v>15</v>
      </c>
      <c r="B19" s="3">
        <v>400</v>
      </c>
      <c r="C19" s="3">
        <v>6</v>
      </c>
      <c r="D19" s="3">
        <v>1</v>
      </c>
      <c r="E19" s="3">
        <v>3</v>
      </c>
      <c r="F19" s="3">
        <v>2</v>
      </c>
      <c r="G19" s="4">
        <v>1.4999999999999999E-2</v>
      </c>
      <c r="H19" s="4">
        <v>0.98499999999999999</v>
      </c>
    </row>
    <row r="20" spans="1:8" x14ac:dyDescent="0.3">
      <c r="A20" s="3">
        <v>16</v>
      </c>
      <c r="B20" s="3">
        <v>375</v>
      </c>
      <c r="C20" s="3">
        <v>22</v>
      </c>
      <c r="D20" s="3">
        <v>4</v>
      </c>
      <c r="E20" s="3">
        <v>12</v>
      </c>
      <c r="F20" s="3">
        <v>6</v>
      </c>
      <c r="G20" s="4">
        <v>5.8666666666666673E-2</v>
      </c>
      <c r="H20" s="4">
        <v>0.94133333333333336</v>
      </c>
    </row>
    <row r="21" spans="1:8" x14ac:dyDescent="0.3">
      <c r="A21" s="3">
        <v>17</v>
      </c>
      <c r="B21" s="3">
        <v>408</v>
      </c>
      <c r="C21" s="3">
        <v>20</v>
      </c>
      <c r="D21" s="3">
        <v>4</v>
      </c>
      <c r="E21" s="3">
        <v>11</v>
      </c>
      <c r="F21" s="3">
        <v>5</v>
      </c>
      <c r="G21" s="4">
        <v>4.9019607843137247E-2</v>
      </c>
      <c r="H21" s="4">
        <v>0.9509803921568627</v>
      </c>
    </row>
    <row r="22" spans="1:8" x14ac:dyDescent="0.3">
      <c r="A22" s="3">
        <v>18</v>
      </c>
      <c r="B22" s="3">
        <v>362</v>
      </c>
      <c r="C22" s="3">
        <v>13</v>
      </c>
      <c r="D22" s="3">
        <v>3</v>
      </c>
      <c r="E22" s="3">
        <v>7</v>
      </c>
      <c r="F22" s="3">
        <v>3</v>
      </c>
      <c r="G22" s="4">
        <v>3.591160220994475E-2</v>
      </c>
      <c r="H22" s="4">
        <v>0.96408839779005528</v>
      </c>
    </row>
    <row r="23" spans="1:8" x14ac:dyDescent="0.3">
      <c r="A23" s="3">
        <v>19</v>
      </c>
      <c r="B23" s="3">
        <v>415</v>
      </c>
      <c r="C23" s="3">
        <v>27</v>
      </c>
      <c r="D23" s="3">
        <v>6</v>
      </c>
      <c r="E23" s="3">
        <v>13</v>
      </c>
      <c r="F23" s="3">
        <v>8</v>
      </c>
      <c r="G23" s="4">
        <v>6.5060240963855417E-2</v>
      </c>
      <c r="H23" s="4">
        <v>0.93493975903614457</v>
      </c>
    </row>
    <row r="24" spans="1:8" x14ac:dyDescent="0.3">
      <c r="A24" s="3">
        <v>20</v>
      </c>
      <c r="B24" s="3">
        <v>390</v>
      </c>
      <c r="C24" s="3">
        <v>18</v>
      </c>
      <c r="D24" s="3">
        <v>4</v>
      </c>
      <c r="E24" s="3">
        <v>8</v>
      </c>
      <c r="F24" s="3">
        <v>6</v>
      </c>
      <c r="G24" s="4">
        <v>4.6153846153846163E-2</v>
      </c>
      <c r="H24" s="4">
        <v>0.95384615384615379</v>
      </c>
    </row>
    <row r="25" spans="1:8" x14ac:dyDescent="0.3">
      <c r="A25" s="3">
        <v>21</v>
      </c>
      <c r="B25" s="3">
        <v>418</v>
      </c>
      <c r="C25" s="3">
        <v>38</v>
      </c>
      <c r="D25" s="3">
        <v>8</v>
      </c>
      <c r="E25" s="3">
        <v>17</v>
      </c>
      <c r="F25" s="3">
        <v>13</v>
      </c>
      <c r="G25" s="4">
        <v>9.0909090909090912E-2</v>
      </c>
      <c r="H25" s="4">
        <v>0.90909090909090906</v>
      </c>
    </row>
    <row r="26" spans="1:8" x14ac:dyDescent="0.3">
      <c r="A26" s="3">
        <v>22</v>
      </c>
      <c r="B26" s="3">
        <v>372</v>
      </c>
      <c r="C26" s="3">
        <v>13</v>
      </c>
      <c r="D26" s="3">
        <v>3</v>
      </c>
      <c r="E26" s="3">
        <v>6</v>
      </c>
      <c r="F26" s="3">
        <v>4</v>
      </c>
      <c r="G26" s="4">
        <v>3.4946236559139782E-2</v>
      </c>
      <c r="H26" s="4">
        <v>0.96505376344086025</v>
      </c>
    </row>
    <row r="27" spans="1:8" x14ac:dyDescent="0.3">
      <c r="A27" s="3">
        <v>23</v>
      </c>
      <c r="B27" s="3">
        <v>402</v>
      </c>
      <c r="C27" s="3">
        <v>23</v>
      </c>
      <c r="D27" s="3">
        <v>6</v>
      </c>
      <c r="E27" s="3">
        <v>10</v>
      </c>
      <c r="F27" s="3">
        <v>7</v>
      </c>
      <c r="G27" s="4">
        <v>5.721393034825871E-2</v>
      </c>
      <c r="H27" s="4">
        <v>0.94278606965174128</v>
      </c>
    </row>
    <row r="28" spans="1:8" x14ac:dyDescent="0.3">
      <c r="A28" s="3">
        <v>24</v>
      </c>
      <c r="B28" s="3">
        <v>368</v>
      </c>
      <c r="C28" s="3">
        <v>18</v>
      </c>
      <c r="D28" s="3">
        <v>4</v>
      </c>
      <c r="E28" s="3">
        <v>9</v>
      </c>
      <c r="F28" s="3">
        <v>5</v>
      </c>
      <c r="G28" s="4">
        <v>4.8913043478260872E-2</v>
      </c>
      <c r="H28" s="4">
        <v>0.95108695652173914</v>
      </c>
    </row>
    <row r="29" spans="1:8" x14ac:dyDescent="0.3">
      <c r="A29" s="3">
        <v>25</v>
      </c>
      <c r="B29" s="3">
        <v>412</v>
      </c>
      <c r="C29" s="3">
        <v>26</v>
      </c>
      <c r="D29" s="3">
        <v>6</v>
      </c>
      <c r="E29" s="3">
        <v>12</v>
      </c>
      <c r="F29" s="3">
        <v>8</v>
      </c>
      <c r="G29" s="4">
        <v>6.3106796116504854E-2</v>
      </c>
      <c r="H29" s="4">
        <v>0.93689320388349517</v>
      </c>
    </row>
    <row r="30" spans="1:8" x14ac:dyDescent="0.3">
      <c r="A30" s="3">
        <v>26</v>
      </c>
      <c r="B30" s="3">
        <v>388</v>
      </c>
      <c r="C30" s="3">
        <v>16</v>
      </c>
      <c r="D30" s="3">
        <v>4</v>
      </c>
      <c r="E30" s="3">
        <v>8</v>
      </c>
      <c r="F30" s="3">
        <v>4</v>
      </c>
      <c r="G30" s="4">
        <v>4.1237113402061848E-2</v>
      </c>
      <c r="H30" s="4">
        <v>0.95876288659793818</v>
      </c>
    </row>
    <row r="31" spans="1:8" x14ac:dyDescent="0.3">
      <c r="A31" s="3">
        <v>27</v>
      </c>
      <c r="B31" s="3">
        <v>405</v>
      </c>
      <c r="C31" s="3">
        <v>21</v>
      </c>
      <c r="D31" s="3">
        <v>5</v>
      </c>
      <c r="E31" s="3">
        <v>9</v>
      </c>
      <c r="F31" s="3">
        <v>7</v>
      </c>
      <c r="G31" s="4">
        <v>5.185185185185185E-2</v>
      </c>
      <c r="H31" s="4">
        <v>0.94814814814814818</v>
      </c>
    </row>
    <row r="32" spans="1:8" x14ac:dyDescent="0.3">
      <c r="A32" s="3">
        <v>28</v>
      </c>
      <c r="B32" s="3">
        <v>398</v>
      </c>
      <c r="C32" s="3">
        <v>31</v>
      </c>
      <c r="D32" s="3">
        <v>7</v>
      </c>
      <c r="E32" s="3">
        <v>16</v>
      </c>
      <c r="F32" s="3">
        <v>8</v>
      </c>
      <c r="G32" s="4">
        <v>7.7889447236180909E-2</v>
      </c>
      <c r="H32" s="4">
        <v>0.92211055276381915</v>
      </c>
    </row>
    <row r="33" spans="1:8" x14ac:dyDescent="0.3">
      <c r="A33" s="1" t="s">
        <v>221</v>
      </c>
      <c r="B33" s="3">
        <f>SUM(B5:B32)</f>
        <v>10909</v>
      </c>
      <c r="C33" s="3">
        <f>SUM(C5:C32)</f>
        <v>593</v>
      </c>
      <c r="D33" s="3">
        <f>SUM(D5:D32)</f>
        <v>138</v>
      </c>
      <c r="E33" s="3">
        <f>SUM(E5:E32)</f>
        <v>277</v>
      </c>
      <c r="F33" s="3">
        <f>SUM(F5:F32)</f>
        <v>178</v>
      </c>
      <c r="G33" s="4">
        <f>C33/B33</f>
        <v>5.435878632321936E-2</v>
      </c>
      <c r="H33" s="4">
        <f>1-G33</f>
        <v>0.94564121367678067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2"/>
  <sheetViews>
    <sheetView zoomScale="90" zoomScaleNormal="90" workbookViewId="0">
      <selection activeCell="A10" sqref="A10"/>
    </sheetView>
  </sheetViews>
  <sheetFormatPr defaultRowHeight="14.4" x14ac:dyDescent="0.3"/>
  <cols>
    <col min="1" max="5" width="24.6640625" customWidth="1"/>
    <col min="6" max="8" width="18.6640625" customWidth="1"/>
  </cols>
  <sheetData>
    <row r="1" spans="1:8" ht="21" x14ac:dyDescent="0.3">
      <c r="A1" s="8" t="s">
        <v>10</v>
      </c>
      <c r="B1" s="8"/>
      <c r="C1" s="8"/>
      <c r="D1" s="8"/>
      <c r="E1" s="8"/>
      <c r="F1" s="8"/>
      <c r="G1" s="8"/>
      <c r="H1" s="8"/>
    </row>
    <row r="3" spans="1:8" ht="15.6" x14ac:dyDescent="0.3">
      <c r="A3" s="5" t="s">
        <v>11</v>
      </c>
    </row>
    <row r="4" spans="1:8" x14ac:dyDescent="0.3">
      <c r="A4" s="2" t="s">
        <v>12</v>
      </c>
      <c r="B4" s="10" t="s">
        <v>13</v>
      </c>
      <c r="C4" s="10"/>
      <c r="D4" s="10"/>
      <c r="E4" s="10"/>
      <c r="F4" s="10"/>
      <c r="G4" s="10"/>
      <c r="H4" s="10"/>
    </row>
    <row r="5" spans="1:8" x14ac:dyDescent="0.3">
      <c r="A5" s="2" t="s">
        <v>14</v>
      </c>
      <c r="B5" s="10" t="s">
        <v>15</v>
      </c>
      <c r="C5" s="10"/>
      <c r="D5" s="10"/>
      <c r="E5" s="10"/>
      <c r="F5" s="10"/>
      <c r="G5" s="10"/>
      <c r="H5" s="10"/>
    </row>
    <row r="6" spans="1:8" x14ac:dyDescent="0.3">
      <c r="A6" s="2" t="s">
        <v>16</v>
      </c>
      <c r="B6" s="10" t="s">
        <v>17</v>
      </c>
      <c r="C6" s="10"/>
      <c r="D6" s="10"/>
      <c r="E6" s="10"/>
      <c r="F6" s="10"/>
      <c r="G6" s="10"/>
      <c r="H6" s="10"/>
    </row>
    <row r="7" spans="1:8" x14ac:dyDescent="0.3">
      <c r="A7" s="2" t="s">
        <v>18</v>
      </c>
      <c r="B7" s="10" t="s">
        <v>19</v>
      </c>
      <c r="C7" s="10"/>
      <c r="D7" s="10"/>
      <c r="E7" s="10"/>
      <c r="F7" s="10"/>
      <c r="G7" s="10"/>
      <c r="H7" s="10"/>
    </row>
    <row r="8" spans="1:8" x14ac:dyDescent="0.3">
      <c r="A8" s="2" t="s">
        <v>20</v>
      </c>
      <c r="B8" s="10" t="s">
        <v>21</v>
      </c>
      <c r="C8" s="10"/>
      <c r="D8" s="10"/>
      <c r="E8" s="10"/>
      <c r="F8" s="10"/>
      <c r="G8" s="10"/>
      <c r="H8" s="10"/>
    </row>
    <row r="9" spans="1:8" x14ac:dyDescent="0.3">
      <c r="A9" s="2" t="s">
        <v>22</v>
      </c>
      <c r="B9" s="10" t="s">
        <v>23</v>
      </c>
      <c r="C9" s="10"/>
      <c r="D9" s="10"/>
      <c r="E9" s="10"/>
      <c r="F9" s="10"/>
      <c r="G9" s="10"/>
      <c r="H9" s="10"/>
    </row>
    <row r="10" spans="1:8" x14ac:dyDescent="0.3">
      <c r="A10" s="2" t="s">
        <v>24</v>
      </c>
      <c r="B10" s="10" t="s">
        <v>25</v>
      </c>
      <c r="C10" s="10"/>
      <c r="D10" s="10"/>
      <c r="E10" s="10"/>
      <c r="F10" s="10"/>
      <c r="G10" s="10"/>
      <c r="H10" s="10"/>
    </row>
    <row r="12" spans="1:8" ht="15.6" x14ac:dyDescent="0.3">
      <c r="A12" s="11" t="s">
        <v>26</v>
      </c>
      <c r="B12" s="11"/>
      <c r="C12" s="11"/>
      <c r="D12" s="11"/>
      <c r="E12" s="11"/>
      <c r="F12" s="11"/>
      <c r="G12" s="11"/>
      <c r="H12" s="11"/>
    </row>
    <row r="13" spans="1:8" x14ac:dyDescent="0.3">
      <c r="A13" s="1" t="s">
        <v>27</v>
      </c>
      <c r="B13" s="1" t="s">
        <v>28</v>
      </c>
      <c r="C13" s="1" t="s">
        <v>29</v>
      </c>
      <c r="D13" s="1" t="s">
        <v>30</v>
      </c>
      <c r="E13" s="1" t="s">
        <v>31</v>
      </c>
    </row>
    <row r="14" spans="1:8" x14ac:dyDescent="0.3">
      <c r="A14" s="6" t="s">
        <v>32</v>
      </c>
      <c r="B14" s="6" t="s">
        <v>33</v>
      </c>
      <c r="C14" s="6" t="s">
        <v>34</v>
      </c>
      <c r="D14" s="6" t="s">
        <v>35</v>
      </c>
      <c r="E14" s="6" t="s">
        <v>36</v>
      </c>
    </row>
    <row r="15" spans="1:8" x14ac:dyDescent="0.3">
      <c r="A15" s="6" t="s">
        <v>37</v>
      </c>
      <c r="B15" s="6" t="s">
        <v>38</v>
      </c>
      <c r="C15" s="6" t="s">
        <v>39</v>
      </c>
      <c r="D15" s="6" t="s">
        <v>40</v>
      </c>
      <c r="E15" s="6" t="s">
        <v>41</v>
      </c>
    </row>
    <row r="16" spans="1:8" x14ac:dyDescent="0.3">
      <c r="A16" s="6" t="s">
        <v>42</v>
      </c>
      <c r="B16" s="6" t="s">
        <v>43</v>
      </c>
      <c r="C16" s="6" t="s">
        <v>44</v>
      </c>
      <c r="D16" s="6" t="s">
        <v>45</v>
      </c>
      <c r="E16" s="6" t="s">
        <v>46</v>
      </c>
    </row>
    <row r="17" spans="1:8" x14ac:dyDescent="0.3">
      <c r="A17" s="6" t="s">
        <v>47</v>
      </c>
      <c r="B17" s="6" t="s">
        <v>48</v>
      </c>
      <c r="C17" s="6" t="s">
        <v>49</v>
      </c>
      <c r="D17" s="6" t="s">
        <v>50</v>
      </c>
      <c r="E17" s="6" t="s">
        <v>51</v>
      </c>
    </row>
    <row r="18" spans="1:8" x14ac:dyDescent="0.3">
      <c r="A18" s="6"/>
      <c r="B18" s="6"/>
      <c r="C18" s="6" t="s">
        <v>52</v>
      </c>
      <c r="D18" s="6"/>
      <c r="E18" s="6"/>
    </row>
    <row r="20" spans="1:8" ht="15.6" x14ac:dyDescent="0.3">
      <c r="A20" s="5" t="s">
        <v>53</v>
      </c>
      <c r="B20" s="17" t="s">
        <v>54</v>
      </c>
      <c r="C20" s="17"/>
      <c r="D20" s="17"/>
      <c r="E20" s="17"/>
      <c r="F20" s="17"/>
      <c r="G20" s="17"/>
      <c r="H20" s="17"/>
    </row>
    <row r="21" spans="1:8" x14ac:dyDescent="0.3">
      <c r="B21" s="15"/>
      <c r="C21" s="15"/>
      <c r="D21" s="15"/>
      <c r="E21" s="15"/>
      <c r="F21" s="15"/>
      <c r="G21" s="15"/>
      <c r="H21" s="15"/>
    </row>
    <row r="22" spans="1:8" x14ac:dyDescent="0.3">
      <c r="B22" s="15"/>
      <c r="C22" s="15"/>
      <c r="D22" s="15"/>
      <c r="E22" s="15"/>
      <c r="F22" s="15"/>
      <c r="G22" s="15"/>
      <c r="H22" s="15"/>
    </row>
  </sheetData>
  <mergeCells count="10">
    <mergeCell ref="B8:H8"/>
    <mergeCell ref="B9:H9"/>
    <mergeCell ref="B10:H10"/>
    <mergeCell ref="A12:H12"/>
    <mergeCell ref="B20:H20"/>
    <mergeCell ref="A1:H1"/>
    <mergeCell ref="B4:H4"/>
    <mergeCell ref="B5:H5"/>
    <mergeCell ref="B6:H6"/>
    <mergeCell ref="B7:H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59"/>
  <sheetViews>
    <sheetView zoomScale="85" zoomScaleNormal="85" workbookViewId="0">
      <selection activeCell="H21" sqref="H21"/>
    </sheetView>
  </sheetViews>
  <sheetFormatPr defaultRowHeight="14.4" x14ac:dyDescent="0.3"/>
  <cols>
    <col min="1" max="1" width="25.21875" style="19" bestFit="1" customWidth="1"/>
    <col min="2" max="2" width="43.88671875" style="19" bestFit="1" customWidth="1"/>
    <col min="3" max="3" width="15.77734375" style="19" bestFit="1" customWidth="1"/>
    <col min="4" max="4" width="25.77734375" style="19" bestFit="1" customWidth="1"/>
    <col min="5" max="5" width="20.33203125" style="19" bestFit="1" customWidth="1"/>
    <col min="6" max="6" width="23.5546875" style="19" bestFit="1" customWidth="1"/>
    <col min="7" max="9" width="9.5546875" style="19" customWidth="1"/>
    <col min="10" max="10" width="18.88671875" style="19" bestFit="1" customWidth="1"/>
    <col min="11" max="12" width="9.5546875" style="19" customWidth="1"/>
    <col min="13" max="17" width="9.5546875" customWidth="1"/>
  </cols>
  <sheetData>
    <row r="1" spans="1:14" ht="21" x14ac:dyDescent="0.3">
      <c r="A1" s="8" t="s">
        <v>55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3" spans="1:14" ht="15.6" x14ac:dyDescent="0.3">
      <c r="A3" s="18" t="s">
        <v>56</v>
      </c>
      <c r="E3" s="28"/>
      <c r="F3" s="29"/>
      <c r="G3" s="29"/>
      <c r="H3" s="29"/>
      <c r="I3" s="29"/>
      <c r="J3" s="28"/>
      <c r="K3" s="28"/>
      <c r="L3" s="28"/>
      <c r="M3" s="30"/>
    </row>
    <row r="4" spans="1:14" x14ac:dyDescent="0.3">
      <c r="A4" s="21" t="s">
        <v>57</v>
      </c>
      <c r="B4" s="21" t="s">
        <v>58</v>
      </c>
      <c r="C4" s="21" t="s">
        <v>59</v>
      </c>
      <c r="D4" s="21" t="s">
        <v>60</v>
      </c>
      <c r="E4" s="28"/>
      <c r="F4" s="31"/>
      <c r="G4" s="31"/>
      <c r="H4" s="31"/>
      <c r="I4" s="31"/>
      <c r="J4" s="31"/>
      <c r="K4" s="31"/>
      <c r="L4" s="31"/>
      <c r="M4" s="30"/>
    </row>
    <row r="5" spans="1:14" x14ac:dyDescent="0.3">
      <c r="A5" s="14" t="s">
        <v>61</v>
      </c>
      <c r="B5" s="14" t="s">
        <v>62</v>
      </c>
      <c r="C5" s="3">
        <v>10909</v>
      </c>
      <c r="D5" s="14" t="s">
        <v>63</v>
      </c>
      <c r="E5" s="28"/>
      <c r="F5" s="32"/>
      <c r="G5" s="32"/>
      <c r="H5" s="32"/>
      <c r="I5" s="33"/>
      <c r="J5" s="33"/>
      <c r="K5" s="33"/>
      <c r="L5" s="33"/>
      <c r="M5" s="30"/>
    </row>
    <row r="6" spans="1:14" x14ac:dyDescent="0.3">
      <c r="A6" s="14" t="s">
        <v>2</v>
      </c>
      <c r="B6" s="14" t="s">
        <v>64</v>
      </c>
      <c r="C6" s="3">
        <v>593</v>
      </c>
      <c r="D6" s="14" t="s">
        <v>65</v>
      </c>
      <c r="E6" s="24"/>
      <c r="F6" s="26"/>
      <c r="G6" s="26"/>
      <c r="H6" s="26"/>
      <c r="I6" s="27"/>
      <c r="J6" s="27"/>
      <c r="K6" s="27"/>
      <c r="L6" s="27"/>
      <c r="M6" s="25"/>
    </row>
    <row r="7" spans="1:14" x14ac:dyDescent="0.3">
      <c r="A7" s="14" t="s">
        <v>6</v>
      </c>
      <c r="B7" s="14" t="s">
        <v>223</v>
      </c>
      <c r="C7" s="4">
        <v>5.435878632321936E-2</v>
      </c>
      <c r="D7" s="14" t="s">
        <v>66</v>
      </c>
      <c r="E7" s="24"/>
      <c r="F7" s="26"/>
      <c r="G7" s="26"/>
      <c r="H7" s="26"/>
      <c r="I7" s="27"/>
      <c r="J7" s="27"/>
      <c r="K7" s="27"/>
      <c r="L7" s="27"/>
      <c r="M7" s="25"/>
    </row>
    <row r="8" spans="1:14" x14ac:dyDescent="0.3">
      <c r="A8" s="14" t="s">
        <v>67</v>
      </c>
      <c r="B8" s="14" t="s">
        <v>68</v>
      </c>
      <c r="C8" s="4">
        <v>0.94564121367678067</v>
      </c>
      <c r="D8" s="14" t="s">
        <v>69</v>
      </c>
      <c r="E8" s="24"/>
      <c r="F8" s="26"/>
      <c r="G8" s="26"/>
      <c r="H8" s="26"/>
      <c r="I8" s="27"/>
      <c r="J8" s="27"/>
      <c r="K8" s="27"/>
      <c r="L8" s="27"/>
      <c r="M8" s="25"/>
    </row>
    <row r="9" spans="1:14" x14ac:dyDescent="0.3">
      <c r="A9" s="14" t="s">
        <v>70</v>
      </c>
      <c r="B9" s="14" t="s">
        <v>222</v>
      </c>
      <c r="C9" s="7">
        <v>18119.595441073121</v>
      </c>
      <c r="D9" s="14" t="s">
        <v>71</v>
      </c>
      <c r="E9" s="24"/>
      <c r="F9" s="26"/>
      <c r="G9" s="26"/>
      <c r="H9" s="26"/>
      <c r="I9" s="27"/>
      <c r="J9" s="27"/>
      <c r="K9" s="27"/>
      <c r="L9" s="27"/>
      <c r="M9" s="25"/>
    </row>
    <row r="10" spans="1:14" x14ac:dyDescent="0.3">
      <c r="A10" s="14" t="s">
        <v>72</v>
      </c>
      <c r="B10" s="14" t="s">
        <v>73</v>
      </c>
      <c r="C10" s="3">
        <v>3</v>
      </c>
      <c r="D10" s="14" t="s">
        <v>74</v>
      </c>
      <c r="E10" s="24"/>
      <c r="F10" s="26"/>
      <c r="G10" s="26"/>
      <c r="H10" s="26"/>
      <c r="I10" s="27"/>
      <c r="J10" s="27"/>
      <c r="K10" s="27"/>
      <c r="L10" s="27"/>
      <c r="M10" s="25"/>
    </row>
    <row r="11" spans="1:14" x14ac:dyDescent="0.3">
      <c r="E11" s="24"/>
      <c r="F11" s="26"/>
      <c r="G11" s="26"/>
      <c r="H11" s="26"/>
      <c r="I11" s="27"/>
      <c r="J11" s="27"/>
      <c r="K11" s="27"/>
      <c r="L11" s="27"/>
      <c r="M11" s="25"/>
    </row>
    <row r="12" spans="1:14" x14ac:dyDescent="0.3">
      <c r="E12" s="24"/>
      <c r="F12" s="26"/>
      <c r="G12" s="26"/>
      <c r="H12" s="26"/>
      <c r="I12" s="27"/>
      <c r="J12" s="27"/>
      <c r="K12" s="27"/>
      <c r="L12" s="27"/>
      <c r="M12" s="25"/>
    </row>
    <row r="13" spans="1:14" ht="15.6" x14ac:dyDescent="0.3">
      <c r="A13" s="34" t="s">
        <v>75</v>
      </c>
      <c r="B13" s="35"/>
      <c r="C13" s="35"/>
      <c r="D13" s="35"/>
      <c r="E13" s="35"/>
      <c r="F13" s="54"/>
      <c r="G13" s="26"/>
      <c r="H13" s="26"/>
      <c r="I13" s="27"/>
      <c r="J13" s="27"/>
      <c r="K13" s="27"/>
      <c r="L13" s="27"/>
      <c r="M13" s="25"/>
    </row>
    <row r="14" spans="1:14" x14ac:dyDescent="0.3">
      <c r="A14" s="21" t="s">
        <v>76</v>
      </c>
      <c r="B14" s="21" t="s">
        <v>77</v>
      </c>
      <c r="C14" s="21" t="s">
        <v>78</v>
      </c>
      <c r="D14" s="21" t="s">
        <v>239</v>
      </c>
      <c r="E14" s="21" t="s">
        <v>79</v>
      </c>
      <c r="F14" s="31"/>
      <c r="G14" s="26"/>
      <c r="H14" s="26"/>
      <c r="I14" s="27"/>
      <c r="J14" s="27"/>
      <c r="K14" s="27"/>
      <c r="L14" s="27"/>
      <c r="M14" s="25"/>
    </row>
    <row r="15" spans="1:14" x14ac:dyDescent="0.3">
      <c r="A15" s="3">
        <v>1</v>
      </c>
      <c r="B15" s="14" t="s">
        <v>4</v>
      </c>
      <c r="C15" s="3">
        <v>277</v>
      </c>
      <c r="D15" s="52">
        <f>C15</f>
        <v>277</v>
      </c>
      <c r="E15" s="4">
        <f>D15/$D$17</f>
        <v>0.46711635750421587</v>
      </c>
      <c r="F15" s="56"/>
      <c r="G15" s="26"/>
      <c r="H15" s="26"/>
      <c r="I15" s="27"/>
      <c r="J15" s="27"/>
      <c r="K15" s="27"/>
      <c r="L15" s="27"/>
      <c r="M15" s="25"/>
    </row>
    <row r="16" spans="1:14" x14ac:dyDescent="0.3">
      <c r="A16" s="3">
        <v>2</v>
      </c>
      <c r="B16" s="14" t="s">
        <v>5</v>
      </c>
      <c r="C16" s="3">
        <v>178</v>
      </c>
      <c r="D16" s="52">
        <f>D15+C16</f>
        <v>455</v>
      </c>
      <c r="E16" s="4">
        <f t="shared" ref="E16:E17" si="0">D16/$D$17</f>
        <v>0.76728499156829677</v>
      </c>
      <c r="F16" s="56"/>
      <c r="G16" s="26"/>
      <c r="H16" s="26"/>
      <c r="I16" s="27"/>
      <c r="J16" s="27"/>
      <c r="K16" s="27"/>
      <c r="L16" s="27"/>
      <c r="M16" s="25"/>
    </row>
    <row r="17" spans="1:13" x14ac:dyDescent="0.3">
      <c r="A17" s="3">
        <v>3</v>
      </c>
      <c r="B17" s="14" t="s">
        <v>3</v>
      </c>
      <c r="C17" s="3">
        <v>138</v>
      </c>
      <c r="D17" s="52">
        <f>D16+C17</f>
        <v>593</v>
      </c>
      <c r="E17" s="4">
        <f t="shared" si="0"/>
        <v>1</v>
      </c>
      <c r="F17" s="56"/>
      <c r="G17" s="26"/>
      <c r="H17" s="26"/>
      <c r="I17" s="27"/>
      <c r="J17" s="27"/>
      <c r="K17" s="27"/>
      <c r="L17" s="27"/>
      <c r="M17" s="25"/>
    </row>
    <row r="18" spans="1:13" x14ac:dyDescent="0.3">
      <c r="C18" s="51">
        <f>SUM(C15:C17)</f>
        <v>593</v>
      </c>
      <c r="D18" s="53" t="s">
        <v>240</v>
      </c>
      <c r="E18" s="57"/>
      <c r="F18" s="55"/>
      <c r="G18" s="26"/>
      <c r="H18" s="26"/>
      <c r="I18" s="27"/>
      <c r="J18" s="27"/>
      <c r="K18" s="27"/>
      <c r="L18" s="27"/>
      <c r="M18" s="25"/>
    </row>
    <row r="19" spans="1:13" x14ac:dyDescent="0.3">
      <c r="E19" s="24"/>
      <c r="F19" s="26"/>
      <c r="G19" s="26"/>
      <c r="H19" s="26"/>
      <c r="I19" s="27"/>
      <c r="J19" s="27"/>
      <c r="K19" s="27"/>
      <c r="L19" s="27"/>
      <c r="M19" s="25"/>
    </row>
    <row r="20" spans="1:13" x14ac:dyDescent="0.3">
      <c r="E20" s="24"/>
      <c r="F20" s="26"/>
      <c r="G20" s="26"/>
      <c r="H20" s="26"/>
      <c r="I20" s="27"/>
      <c r="J20" s="27"/>
      <c r="K20" s="27"/>
      <c r="L20" s="27"/>
      <c r="M20" s="25"/>
    </row>
    <row r="21" spans="1:13" x14ac:dyDescent="0.3">
      <c r="E21" s="24"/>
      <c r="F21" s="26"/>
      <c r="G21" s="26"/>
      <c r="H21" s="26"/>
      <c r="I21" s="27"/>
      <c r="J21" s="27"/>
      <c r="K21" s="27"/>
      <c r="L21" s="27"/>
      <c r="M21" s="25"/>
    </row>
    <row r="22" spans="1:13" x14ac:dyDescent="0.3">
      <c r="E22" s="24"/>
      <c r="F22" s="26"/>
      <c r="G22" s="26"/>
      <c r="H22" s="26"/>
      <c r="I22" s="27"/>
      <c r="J22" s="27"/>
      <c r="K22" s="27"/>
      <c r="L22" s="27"/>
      <c r="M22" s="25"/>
    </row>
    <row r="23" spans="1:13" ht="14.4" customHeight="1" x14ac:dyDescent="0.3">
      <c r="A23" s="36" t="s">
        <v>224</v>
      </c>
      <c r="B23" s="48"/>
      <c r="C23" s="48"/>
      <c r="D23" s="48"/>
      <c r="E23" s="48"/>
      <c r="F23" s="48"/>
      <c r="G23" s="38"/>
      <c r="H23" s="38"/>
      <c r="I23" s="38"/>
      <c r="J23" s="38"/>
      <c r="K23" s="38"/>
      <c r="L23" s="38"/>
      <c r="M23" s="25"/>
    </row>
    <row r="24" spans="1:13" ht="14.4" customHeight="1" x14ac:dyDescent="0.3">
      <c r="A24" s="48"/>
      <c r="B24" s="48"/>
      <c r="C24" s="48"/>
      <c r="D24" s="48"/>
      <c r="E24" s="48"/>
      <c r="F24" s="48"/>
      <c r="G24" s="38"/>
      <c r="H24" s="38"/>
      <c r="I24" s="38"/>
      <c r="J24" s="38"/>
      <c r="K24" s="38"/>
      <c r="L24" s="38"/>
      <c r="M24" s="25"/>
    </row>
    <row r="25" spans="1:13" x14ac:dyDescent="0.3">
      <c r="A25" s="49" t="s">
        <v>225</v>
      </c>
      <c r="B25" s="49" t="s">
        <v>226</v>
      </c>
      <c r="C25" s="49" t="s">
        <v>227</v>
      </c>
      <c r="D25" s="49" t="s">
        <v>228</v>
      </c>
      <c r="E25" s="49" t="s">
        <v>229</v>
      </c>
      <c r="F25" s="49" t="s">
        <v>230</v>
      </c>
      <c r="G25" s="39"/>
      <c r="H25" s="47"/>
      <c r="I25" s="47"/>
      <c r="J25" s="47" t="s">
        <v>231</v>
      </c>
      <c r="K25" s="47"/>
      <c r="L25" s="47"/>
      <c r="M25" s="25"/>
    </row>
    <row r="26" spans="1:13" x14ac:dyDescent="0.3">
      <c r="A26" s="49"/>
      <c r="B26" s="49" t="s">
        <v>232</v>
      </c>
      <c r="C26" s="49" t="s">
        <v>233</v>
      </c>
      <c r="D26" s="49"/>
      <c r="E26" s="49"/>
      <c r="F26" s="49"/>
      <c r="G26" s="39"/>
      <c r="H26" s="47" t="s">
        <v>234</v>
      </c>
      <c r="I26" s="47" t="s">
        <v>235</v>
      </c>
      <c r="J26" s="47" t="s">
        <v>236</v>
      </c>
      <c r="K26" s="47" t="s">
        <v>9</v>
      </c>
      <c r="L26" s="47" t="s">
        <v>8</v>
      </c>
      <c r="M26" s="25"/>
    </row>
    <row r="27" spans="1:13" x14ac:dyDescent="0.3">
      <c r="A27" s="50">
        <v>1</v>
      </c>
      <c r="B27" s="50">
        <v>365</v>
      </c>
      <c r="C27" s="50">
        <v>12</v>
      </c>
      <c r="D27" s="50">
        <v>3</v>
      </c>
      <c r="E27" s="50">
        <v>5</v>
      </c>
      <c r="F27" s="50">
        <v>4</v>
      </c>
      <c r="G27" s="40"/>
      <c r="H27" s="46">
        <f>C27/B27</f>
        <v>3.287671232876712E-2</v>
      </c>
      <c r="I27" s="46">
        <f>$D$58</f>
        <v>5.435878632321936E-2</v>
      </c>
      <c r="J27" s="46">
        <f t="shared" ref="J27:J54" si="1">SQRT((I27*(1-I27)/B27))</f>
        <v>1.1867292298604152E-2</v>
      </c>
      <c r="K27" s="46">
        <f>MAX(0,I27-3*J27)</f>
        <v>1.8756909427406904E-2</v>
      </c>
      <c r="L27" s="46">
        <f t="shared" ref="L27:L54" si="2">I27+3*J27</f>
        <v>8.9960663219031817E-2</v>
      </c>
      <c r="M27" s="25"/>
    </row>
    <row r="28" spans="1:13" x14ac:dyDescent="0.3">
      <c r="A28" s="50">
        <v>2</v>
      </c>
      <c r="B28" s="50">
        <v>378</v>
      </c>
      <c r="C28" s="50">
        <v>23</v>
      </c>
      <c r="D28" s="50">
        <v>6</v>
      </c>
      <c r="E28" s="50">
        <v>9</v>
      </c>
      <c r="F28" s="50">
        <v>8</v>
      </c>
      <c r="G28" s="40"/>
      <c r="H28" s="46">
        <f t="shared" ref="H27:H54" si="3">C28/B28</f>
        <v>6.0846560846560843E-2</v>
      </c>
      <c r="I28" s="46">
        <f t="shared" ref="I28:I54" si="4">$D$58</f>
        <v>5.435878632321936E-2</v>
      </c>
      <c r="J28" s="46">
        <f t="shared" si="1"/>
        <v>1.1661439721696762E-2</v>
      </c>
      <c r="K28" s="46">
        <f t="shared" ref="K27:K54" si="5">MAX(0,I28-3*J28)</f>
        <v>1.9374467158129072E-2</v>
      </c>
      <c r="L28" s="46">
        <f t="shared" si="2"/>
        <v>8.9343105488309649E-2</v>
      </c>
      <c r="M28" s="25"/>
    </row>
    <row r="29" spans="1:13" x14ac:dyDescent="0.3">
      <c r="A29" s="50">
        <v>3</v>
      </c>
      <c r="B29" s="50">
        <v>352</v>
      </c>
      <c r="C29" s="50">
        <v>17</v>
      </c>
      <c r="D29" s="50">
        <v>5</v>
      </c>
      <c r="E29" s="50">
        <v>8</v>
      </c>
      <c r="F29" s="50">
        <v>4</v>
      </c>
      <c r="G29" s="40"/>
      <c r="H29" s="46">
        <f t="shared" si="3"/>
        <v>4.8295454545454544E-2</v>
      </c>
      <c r="I29" s="46">
        <f t="shared" si="4"/>
        <v>5.435878632321936E-2</v>
      </c>
      <c r="J29" s="46">
        <f t="shared" si="1"/>
        <v>1.2084445848134458E-2</v>
      </c>
      <c r="K29" s="46">
        <f t="shared" si="5"/>
        <v>1.8105448778815987E-2</v>
      </c>
      <c r="L29" s="46">
        <f t="shared" si="2"/>
        <v>9.061212386762274E-2</v>
      </c>
      <c r="M29" s="25"/>
    </row>
    <row r="30" spans="1:13" x14ac:dyDescent="0.3">
      <c r="A30" s="50">
        <v>4</v>
      </c>
      <c r="B30" s="50">
        <v>395</v>
      </c>
      <c r="C30" s="50">
        <v>27</v>
      </c>
      <c r="D30" s="50">
        <v>6</v>
      </c>
      <c r="E30" s="50">
        <v>12</v>
      </c>
      <c r="F30" s="50">
        <v>9</v>
      </c>
      <c r="G30" s="40"/>
      <c r="H30" s="46">
        <f t="shared" si="3"/>
        <v>6.8354430379746839E-2</v>
      </c>
      <c r="I30" s="46">
        <f t="shared" si="4"/>
        <v>5.435878632321936E-2</v>
      </c>
      <c r="J30" s="46">
        <f t="shared" si="1"/>
        <v>1.1407737621998915E-2</v>
      </c>
      <c r="K30" s="46">
        <f t="shared" si="5"/>
        <v>2.0135573457222611E-2</v>
      </c>
      <c r="L30" s="46">
        <f t="shared" si="2"/>
        <v>8.858199918921611E-2</v>
      </c>
      <c r="M30" s="25"/>
    </row>
    <row r="31" spans="1:13" x14ac:dyDescent="0.3">
      <c r="A31" s="50">
        <v>5</v>
      </c>
      <c r="B31" s="50">
        <v>370</v>
      </c>
      <c r="C31" s="50">
        <v>15</v>
      </c>
      <c r="D31" s="50">
        <v>3</v>
      </c>
      <c r="E31" s="50">
        <v>7</v>
      </c>
      <c r="F31" s="50">
        <v>5</v>
      </c>
      <c r="G31" s="40"/>
      <c r="H31" s="46">
        <f t="shared" si="3"/>
        <v>4.0540540540540543E-2</v>
      </c>
      <c r="I31" s="46">
        <f t="shared" si="4"/>
        <v>5.435878632321936E-2</v>
      </c>
      <c r="J31" s="46">
        <f t="shared" si="1"/>
        <v>1.1786835151946055E-2</v>
      </c>
      <c r="K31" s="46">
        <f t="shared" si="5"/>
        <v>1.8998280867381194E-2</v>
      </c>
      <c r="L31" s="46">
        <f t="shared" si="2"/>
        <v>8.971929177905752E-2</v>
      </c>
      <c r="M31" s="25"/>
    </row>
    <row r="32" spans="1:13" x14ac:dyDescent="0.3">
      <c r="A32" s="50">
        <v>6</v>
      </c>
      <c r="B32" s="50">
        <v>410</v>
      </c>
      <c r="C32" s="50">
        <v>24</v>
      </c>
      <c r="D32" s="50">
        <v>5</v>
      </c>
      <c r="E32" s="50">
        <v>12</v>
      </c>
      <c r="F32" s="50">
        <v>7</v>
      </c>
      <c r="G32" s="40"/>
      <c r="H32" s="46">
        <f t="shared" si="3"/>
        <v>5.8536585365853662E-2</v>
      </c>
      <c r="I32" s="46">
        <f t="shared" si="4"/>
        <v>5.435878632321936E-2</v>
      </c>
      <c r="J32" s="46">
        <f t="shared" si="1"/>
        <v>1.1197115119822207E-2</v>
      </c>
      <c r="K32" s="46">
        <f t="shared" si="5"/>
        <v>2.0767440963752742E-2</v>
      </c>
      <c r="L32" s="46">
        <f t="shared" si="2"/>
        <v>8.7950131682685978E-2</v>
      </c>
      <c r="M32" s="25"/>
    </row>
    <row r="33" spans="1:13" x14ac:dyDescent="0.3">
      <c r="A33" s="50">
        <v>7</v>
      </c>
      <c r="B33" s="50">
        <v>358</v>
      </c>
      <c r="C33" s="50">
        <v>13</v>
      </c>
      <c r="D33" s="50">
        <v>3</v>
      </c>
      <c r="E33" s="50">
        <v>6</v>
      </c>
      <c r="F33" s="50">
        <v>4</v>
      </c>
      <c r="G33" s="40"/>
      <c r="H33" s="46">
        <f t="shared" si="3"/>
        <v>3.6312849162011177E-2</v>
      </c>
      <c r="I33" s="46">
        <f t="shared" si="4"/>
        <v>5.435878632321936E-2</v>
      </c>
      <c r="J33" s="46">
        <f t="shared" si="1"/>
        <v>1.1982751648704973E-2</v>
      </c>
      <c r="K33" s="46">
        <f t="shared" si="5"/>
        <v>1.8410531377104439E-2</v>
      </c>
      <c r="L33" s="46">
        <f t="shared" si="2"/>
        <v>9.0307041269334282E-2</v>
      </c>
      <c r="M33" s="25"/>
    </row>
    <row r="34" spans="1:13" x14ac:dyDescent="0.3">
      <c r="A34" s="50">
        <v>8</v>
      </c>
      <c r="B34" s="50">
        <v>405</v>
      </c>
      <c r="C34" s="50">
        <v>38</v>
      </c>
      <c r="D34" s="50">
        <v>9</v>
      </c>
      <c r="E34" s="50">
        <v>18</v>
      </c>
      <c r="F34" s="50">
        <v>11</v>
      </c>
      <c r="G34" s="40"/>
      <c r="H34" s="46">
        <f t="shared" si="3"/>
        <v>9.3827160493827166E-2</v>
      </c>
      <c r="I34" s="46">
        <f t="shared" si="4"/>
        <v>5.435878632321936E-2</v>
      </c>
      <c r="J34" s="46">
        <f t="shared" si="1"/>
        <v>1.1266021094005752E-2</v>
      </c>
      <c r="K34" s="46">
        <f t="shared" si="5"/>
        <v>2.05607230412021E-2</v>
      </c>
      <c r="L34" s="46">
        <f t="shared" si="2"/>
        <v>8.815684960523662E-2</v>
      </c>
      <c r="M34" s="25"/>
    </row>
    <row r="35" spans="1:13" x14ac:dyDescent="0.3">
      <c r="A35" s="50">
        <v>9</v>
      </c>
      <c r="B35" s="50">
        <v>382</v>
      </c>
      <c r="C35" s="50">
        <v>20</v>
      </c>
      <c r="D35" s="50">
        <v>5</v>
      </c>
      <c r="E35" s="50">
        <v>8</v>
      </c>
      <c r="F35" s="50">
        <v>7</v>
      </c>
      <c r="G35" s="40"/>
      <c r="H35" s="46">
        <f t="shared" si="3"/>
        <v>5.2356020942408377E-2</v>
      </c>
      <c r="I35" s="46">
        <f t="shared" si="4"/>
        <v>5.435878632321936E-2</v>
      </c>
      <c r="J35" s="46">
        <f t="shared" si="1"/>
        <v>1.160022439220206E-2</v>
      </c>
      <c r="K35" s="46">
        <f t="shared" si="5"/>
        <v>1.9558113146613182E-2</v>
      </c>
      <c r="L35" s="46">
        <f t="shared" si="2"/>
        <v>8.9159459499825539E-2</v>
      </c>
    </row>
    <row r="36" spans="1:13" x14ac:dyDescent="0.3">
      <c r="A36" s="50">
        <v>10</v>
      </c>
      <c r="B36" s="50">
        <v>398</v>
      </c>
      <c r="C36" s="50">
        <v>29</v>
      </c>
      <c r="D36" s="50">
        <v>7</v>
      </c>
      <c r="E36" s="50">
        <v>14</v>
      </c>
      <c r="F36" s="50">
        <v>8</v>
      </c>
      <c r="G36" s="40"/>
      <c r="H36" s="46">
        <f t="shared" si="3"/>
        <v>7.2864321608040197E-2</v>
      </c>
      <c r="I36" s="46">
        <f t="shared" si="4"/>
        <v>5.435878632321936E-2</v>
      </c>
      <c r="J36" s="46">
        <f t="shared" si="1"/>
        <v>1.136466231037505E-2</v>
      </c>
      <c r="K36" s="46">
        <f t="shared" si="5"/>
        <v>2.0264799392094211E-2</v>
      </c>
      <c r="L36" s="46">
        <f t="shared" si="2"/>
        <v>8.8452773254344502E-2</v>
      </c>
    </row>
    <row r="37" spans="1:13" x14ac:dyDescent="0.3">
      <c r="A37" s="50">
        <v>11</v>
      </c>
      <c r="B37" s="50">
        <v>388</v>
      </c>
      <c r="C37" s="50">
        <v>15</v>
      </c>
      <c r="D37" s="50">
        <v>3</v>
      </c>
      <c r="E37" s="50">
        <v>7</v>
      </c>
      <c r="F37" s="50">
        <v>5</v>
      </c>
      <c r="G37" s="40"/>
      <c r="H37" s="46">
        <f t="shared" si="3"/>
        <v>3.8659793814432991E-2</v>
      </c>
      <c r="I37" s="46">
        <f t="shared" si="4"/>
        <v>5.435878632321936E-2</v>
      </c>
      <c r="J37" s="46">
        <f t="shared" si="1"/>
        <v>1.1510182479126854E-2</v>
      </c>
      <c r="K37" s="46">
        <f t="shared" si="5"/>
        <v>1.9828238885838803E-2</v>
      </c>
      <c r="L37" s="46">
        <f t="shared" si="2"/>
        <v>8.8889333760599917E-2</v>
      </c>
    </row>
    <row r="38" spans="1:13" x14ac:dyDescent="0.3">
      <c r="A38" s="50">
        <v>12</v>
      </c>
      <c r="B38" s="50">
        <v>412</v>
      </c>
      <c r="C38" s="50">
        <v>23</v>
      </c>
      <c r="D38" s="50">
        <v>6</v>
      </c>
      <c r="E38" s="50">
        <v>10</v>
      </c>
      <c r="F38" s="50">
        <v>7</v>
      </c>
      <c r="G38" s="40"/>
      <c r="H38" s="46">
        <f t="shared" si="3"/>
        <v>5.5825242718446605E-2</v>
      </c>
      <c r="I38" s="46">
        <f t="shared" si="4"/>
        <v>5.435878632321936E-2</v>
      </c>
      <c r="J38" s="46">
        <f t="shared" si="1"/>
        <v>1.1169904593282081E-2</v>
      </c>
      <c r="K38" s="46">
        <f t="shared" si="5"/>
        <v>2.0849072543373121E-2</v>
      </c>
      <c r="L38" s="46">
        <f t="shared" si="2"/>
        <v>8.78685001030656E-2</v>
      </c>
    </row>
    <row r="39" spans="1:13" x14ac:dyDescent="0.3">
      <c r="A39" s="50">
        <v>13</v>
      </c>
      <c r="B39" s="50">
        <v>365</v>
      </c>
      <c r="C39" s="50">
        <v>16</v>
      </c>
      <c r="D39" s="50">
        <v>4</v>
      </c>
      <c r="E39" s="50">
        <v>7</v>
      </c>
      <c r="F39" s="50">
        <v>5</v>
      </c>
      <c r="G39" s="40"/>
      <c r="H39" s="46">
        <f t="shared" si="3"/>
        <v>4.3835616438356165E-2</v>
      </c>
      <c r="I39" s="46">
        <f t="shared" si="4"/>
        <v>5.435878632321936E-2</v>
      </c>
      <c r="J39" s="46">
        <f t="shared" si="1"/>
        <v>1.1867292298604152E-2</v>
      </c>
      <c r="K39" s="46">
        <f t="shared" si="5"/>
        <v>1.8756909427406904E-2</v>
      </c>
      <c r="L39" s="46">
        <f t="shared" si="2"/>
        <v>8.9960663219031817E-2</v>
      </c>
    </row>
    <row r="40" spans="1:13" x14ac:dyDescent="0.3">
      <c r="A40" s="50">
        <v>14</v>
      </c>
      <c r="B40" s="50">
        <v>418</v>
      </c>
      <c r="C40" s="50">
        <v>29</v>
      </c>
      <c r="D40" s="50">
        <v>8</v>
      </c>
      <c r="E40" s="50">
        <v>13</v>
      </c>
      <c r="F40" s="50">
        <v>8</v>
      </c>
      <c r="G40" s="40"/>
      <c r="H40" s="46">
        <f t="shared" si="3"/>
        <v>6.9377990430622011E-2</v>
      </c>
      <c r="I40" s="46">
        <f t="shared" si="4"/>
        <v>5.435878632321936E-2</v>
      </c>
      <c r="J40" s="46">
        <f t="shared" si="1"/>
        <v>1.108944805067532E-2</v>
      </c>
      <c r="K40" s="46">
        <f t="shared" si="5"/>
        <v>2.1090442171193401E-2</v>
      </c>
      <c r="L40" s="46">
        <f t="shared" si="2"/>
        <v>8.7627130475245313E-2</v>
      </c>
    </row>
    <row r="41" spans="1:13" x14ac:dyDescent="0.3">
      <c r="A41" s="50">
        <v>15</v>
      </c>
      <c r="B41" s="50">
        <v>400</v>
      </c>
      <c r="C41" s="50">
        <v>6</v>
      </c>
      <c r="D41" s="50">
        <v>1</v>
      </c>
      <c r="E41" s="50">
        <v>3</v>
      </c>
      <c r="F41" s="50">
        <v>2</v>
      </c>
      <c r="G41" s="40"/>
      <c r="H41" s="46">
        <f t="shared" si="3"/>
        <v>1.4999999999999999E-2</v>
      </c>
      <c r="I41" s="46">
        <f t="shared" si="4"/>
        <v>5.435878632321936E-2</v>
      </c>
      <c r="J41" s="46">
        <f t="shared" si="1"/>
        <v>1.1336215050964535E-2</v>
      </c>
      <c r="K41" s="46">
        <f t="shared" si="5"/>
        <v>2.0350141170325756E-2</v>
      </c>
      <c r="L41" s="46">
        <f t="shared" si="2"/>
        <v>8.8367431476112965E-2</v>
      </c>
    </row>
    <row r="42" spans="1:13" x14ac:dyDescent="0.3">
      <c r="A42" s="50">
        <v>16</v>
      </c>
      <c r="B42" s="50">
        <v>375</v>
      </c>
      <c r="C42" s="50">
        <v>22</v>
      </c>
      <c r="D42" s="50">
        <v>4</v>
      </c>
      <c r="E42" s="50">
        <v>12</v>
      </c>
      <c r="F42" s="50">
        <v>6</v>
      </c>
      <c r="G42" s="40"/>
      <c r="H42" s="46">
        <f t="shared" si="3"/>
        <v>5.8666666666666666E-2</v>
      </c>
      <c r="I42" s="46">
        <f t="shared" si="4"/>
        <v>5.435878632321936E-2</v>
      </c>
      <c r="J42" s="46">
        <f t="shared" si="1"/>
        <v>1.1707992560376402E-2</v>
      </c>
      <c r="K42" s="46">
        <f t="shared" si="5"/>
        <v>1.9234808642090151E-2</v>
      </c>
      <c r="L42" s="46">
        <f t="shared" si="2"/>
        <v>8.9482764004348569E-2</v>
      </c>
    </row>
    <row r="43" spans="1:13" x14ac:dyDescent="0.3">
      <c r="A43" s="50">
        <v>17</v>
      </c>
      <c r="B43" s="50">
        <v>408</v>
      </c>
      <c r="C43" s="50">
        <v>20</v>
      </c>
      <c r="D43" s="50">
        <v>4</v>
      </c>
      <c r="E43" s="50">
        <v>11</v>
      </c>
      <c r="F43" s="50">
        <v>5</v>
      </c>
      <c r="G43" s="40"/>
      <c r="H43" s="46">
        <f t="shared" si="3"/>
        <v>4.9019607843137254E-2</v>
      </c>
      <c r="I43" s="46">
        <f t="shared" si="4"/>
        <v>5.435878632321936E-2</v>
      </c>
      <c r="J43" s="46">
        <f t="shared" si="1"/>
        <v>1.1224525479367729E-2</v>
      </c>
      <c r="K43" s="46">
        <f t="shared" si="5"/>
        <v>2.0685209885116171E-2</v>
      </c>
      <c r="L43" s="46">
        <f t="shared" si="2"/>
        <v>8.803236276132255E-2</v>
      </c>
    </row>
    <row r="44" spans="1:13" x14ac:dyDescent="0.3">
      <c r="A44" s="50">
        <v>18</v>
      </c>
      <c r="B44" s="50">
        <v>362</v>
      </c>
      <c r="C44" s="50">
        <v>13</v>
      </c>
      <c r="D44" s="50">
        <v>3</v>
      </c>
      <c r="E44" s="50">
        <v>7</v>
      </c>
      <c r="F44" s="50">
        <v>3</v>
      </c>
      <c r="G44" s="40"/>
      <c r="H44" s="46">
        <f t="shared" si="3"/>
        <v>3.591160220994475E-2</v>
      </c>
      <c r="I44" s="46">
        <f t="shared" si="4"/>
        <v>5.435878632321936E-2</v>
      </c>
      <c r="J44" s="46">
        <f t="shared" si="1"/>
        <v>1.1916364702148135E-2</v>
      </c>
      <c r="K44" s="46">
        <f t="shared" si="5"/>
        <v>1.8609692216774956E-2</v>
      </c>
      <c r="L44" s="46">
        <f t="shared" si="2"/>
        <v>9.0107880429663764E-2</v>
      </c>
    </row>
    <row r="45" spans="1:13" x14ac:dyDescent="0.3">
      <c r="A45" s="50">
        <v>19</v>
      </c>
      <c r="B45" s="50">
        <v>415</v>
      </c>
      <c r="C45" s="50">
        <v>27</v>
      </c>
      <c r="D45" s="50">
        <v>6</v>
      </c>
      <c r="E45" s="50">
        <v>13</v>
      </c>
      <c r="F45" s="50">
        <v>8</v>
      </c>
      <c r="G45" s="40"/>
      <c r="H45" s="46">
        <f t="shared" si="3"/>
        <v>6.5060240963855417E-2</v>
      </c>
      <c r="I45" s="46">
        <f t="shared" si="4"/>
        <v>5.435878632321936E-2</v>
      </c>
      <c r="J45" s="46">
        <f t="shared" si="1"/>
        <v>1.1129458215706049E-2</v>
      </c>
      <c r="K45" s="46">
        <f t="shared" si="5"/>
        <v>2.0970411676101211E-2</v>
      </c>
      <c r="L45" s="46">
        <f t="shared" si="2"/>
        <v>8.7747160970337509E-2</v>
      </c>
    </row>
    <row r="46" spans="1:13" x14ac:dyDescent="0.3">
      <c r="A46" s="50">
        <v>20</v>
      </c>
      <c r="B46" s="50">
        <v>390</v>
      </c>
      <c r="C46" s="50">
        <v>18</v>
      </c>
      <c r="D46" s="50">
        <v>4</v>
      </c>
      <c r="E46" s="50">
        <v>8</v>
      </c>
      <c r="F46" s="50">
        <v>6</v>
      </c>
      <c r="G46" s="40"/>
      <c r="H46" s="46">
        <f t="shared" si="3"/>
        <v>4.6153846153846156E-2</v>
      </c>
      <c r="I46" s="46">
        <f t="shared" si="4"/>
        <v>5.435878632321936E-2</v>
      </c>
      <c r="J46" s="46">
        <f t="shared" si="1"/>
        <v>1.148063125583816E-2</v>
      </c>
      <c r="K46" s="46">
        <f t="shared" si="5"/>
        <v>1.9916892555704883E-2</v>
      </c>
      <c r="L46" s="46">
        <f t="shared" si="2"/>
        <v>8.880068009073383E-2</v>
      </c>
    </row>
    <row r="47" spans="1:13" x14ac:dyDescent="0.3">
      <c r="A47" s="50">
        <v>21</v>
      </c>
      <c r="B47" s="50">
        <v>418</v>
      </c>
      <c r="C47" s="50">
        <v>38</v>
      </c>
      <c r="D47" s="50">
        <v>8</v>
      </c>
      <c r="E47" s="50">
        <v>17</v>
      </c>
      <c r="F47" s="50">
        <v>13</v>
      </c>
      <c r="G47" s="40"/>
      <c r="H47" s="46">
        <f t="shared" si="3"/>
        <v>9.0909090909090912E-2</v>
      </c>
      <c r="I47" s="46">
        <f t="shared" si="4"/>
        <v>5.435878632321936E-2</v>
      </c>
      <c r="J47" s="46">
        <f t="shared" si="1"/>
        <v>1.108944805067532E-2</v>
      </c>
      <c r="K47" s="46">
        <f t="shared" si="5"/>
        <v>2.1090442171193401E-2</v>
      </c>
      <c r="L47" s="46">
        <f t="shared" si="2"/>
        <v>8.7627130475245313E-2</v>
      </c>
    </row>
    <row r="48" spans="1:13" x14ac:dyDescent="0.3">
      <c r="A48" s="50">
        <v>22</v>
      </c>
      <c r="B48" s="50">
        <v>372</v>
      </c>
      <c r="C48" s="50">
        <v>13</v>
      </c>
      <c r="D48" s="50">
        <v>3</v>
      </c>
      <c r="E48" s="50">
        <v>6</v>
      </c>
      <c r="F48" s="50">
        <v>4</v>
      </c>
      <c r="G48" s="40"/>
      <c r="H48" s="46">
        <f t="shared" si="3"/>
        <v>3.4946236559139782E-2</v>
      </c>
      <c r="I48" s="46">
        <f t="shared" si="4"/>
        <v>5.435878632321936E-2</v>
      </c>
      <c r="J48" s="46">
        <f t="shared" si="1"/>
        <v>1.1755107408926229E-2</v>
      </c>
      <c r="K48" s="46">
        <f t="shared" si="5"/>
        <v>1.9093464096440672E-2</v>
      </c>
      <c r="L48" s="46">
        <f t="shared" si="2"/>
        <v>8.9624108549998055E-2</v>
      </c>
    </row>
    <row r="49" spans="1:12" x14ac:dyDescent="0.3">
      <c r="A49" s="50">
        <v>23</v>
      </c>
      <c r="B49" s="50">
        <v>402</v>
      </c>
      <c r="C49" s="50">
        <v>23</v>
      </c>
      <c r="D49" s="50">
        <v>6</v>
      </c>
      <c r="E49" s="50">
        <v>10</v>
      </c>
      <c r="F49" s="50">
        <v>7</v>
      </c>
      <c r="G49" s="40"/>
      <c r="H49" s="46">
        <f t="shared" si="3"/>
        <v>5.721393034825871E-2</v>
      </c>
      <c r="I49" s="46">
        <f t="shared" si="4"/>
        <v>5.435878632321936E-2</v>
      </c>
      <c r="J49" s="46">
        <f t="shared" si="1"/>
        <v>1.130798034946099E-2</v>
      </c>
      <c r="K49" s="46">
        <f t="shared" si="5"/>
        <v>2.043484527483639E-2</v>
      </c>
      <c r="L49" s="46">
        <f t="shared" si="2"/>
        <v>8.8282727371602338E-2</v>
      </c>
    </row>
    <row r="50" spans="1:12" x14ac:dyDescent="0.3">
      <c r="A50" s="50">
        <v>24</v>
      </c>
      <c r="B50" s="50">
        <v>368</v>
      </c>
      <c r="C50" s="50">
        <v>18</v>
      </c>
      <c r="D50" s="50">
        <v>4</v>
      </c>
      <c r="E50" s="50">
        <v>9</v>
      </c>
      <c r="F50" s="50">
        <v>5</v>
      </c>
      <c r="G50" s="40"/>
      <c r="H50" s="46">
        <f t="shared" si="3"/>
        <v>4.8913043478260872E-2</v>
      </c>
      <c r="I50" s="46">
        <f t="shared" si="4"/>
        <v>5.435878632321936E-2</v>
      </c>
      <c r="J50" s="46">
        <f t="shared" si="1"/>
        <v>1.181882119488431E-2</v>
      </c>
      <c r="K50" s="46">
        <f t="shared" si="5"/>
        <v>1.8902322738566429E-2</v>
      </c>
      <c r="L50" s="46">
        <f t="shared" si="2"/>
        <v>8.9815249907872291E-2</v>
      </c>
    </row>
    <row r="51" spans="1:12" x14ac:dyDescent="0.3">
      <c r="A51" s="50">
        <v>25</v>
      </c>
      <c r="B51" s="50">
        <v>412</v>
      </c>
      <c r="C51" s="50">
        <v>26</v>
      </c>
      <c r="D51" s="50">
        <v>6</v>
      </c>
      <c r="E51" s="50">
        <v>12</v>
      </c>
      <c r="F51" s="50">
        <v>8</v>
      </c>
      <c r="G51" s="40"/>
      <c r="H51" s="46">
        <f t="shared" si="3"/>
        <v>6.3106796116504854E-2</v>
      </c>
      <c r="I51" s="46">
        <f t="shared" si="4"/>
        <v>5.435878632321936E-2</v>
      </c>
      <c r="J51" s="46">
        <f t="shared" si="1"/>
        <v>1.1169904593282081E-2</v>
      </c>
      <c r="K51" s="46">
        <f t="shared" si="5"/>
        <v>2.0849072543373121E-2</v>
      </c>
      <c r="L51" s="46">
        <f t="shared" si="2"/>
        <v>8.78685001030656E-2</v>
      </c>
    </row>
    <row r="52" spans="1:12" x14ac:dyDescent="0.3">
      <c r="A52" s="50">
        <v>26</v>
      </c>
      <c r="B52" s="50">
        <v>388</v>
      </c>
      <c r="C52" s="50">
        <v>16</v>
      </c>
      <c r="D52" s="50">
        <v>4</v>
      </c>
      <c r="E52" s="50">
        <v>8</v>
      </c>
      <c r="F52" s="50">
        <v>4</v>
      </c>
      <c r="G52" s="40"/>
      <c r="H52" s="46">
        <f t="shared" si="3"/>
        <v>4.1237113402061855E-2</v>
      </c>
      <c r="I52" s="46">
        <f t="shared" si="4"/>
        <v>5.435878632321936E-2</v>
      </c>
      <c r="J52" s="46">
        <f t="shared" si="1"/>
        <v>1.1510182479126854E-2</v>
      </c>
      <c r="K52" s="46">
        <f t="shared" si="5"/>
        <v>1.9828238885838803E-2</v>
      </c>
      <c r="L52" s="46">
        <f t="shared" si="2"/>
        <v>8.8889333760599917E-2</v>
      </c>
    </row>
    <row r="53" spans="1:12" x14ac:dyDescent="0.3">
      <c r="A53" s="50">
        <v>27</v>
      </c>
      <c r="B53" s="50">
        <v>405</v>
      </c>
      <c r="C53" s="50">
        <v>21</v>
      </c>
      <c r="D53" s="50">
        <v>5</v>
      </c>
      <c r="E53" s="50">
        <v>9</v>
      </c>
      <c r="F53" s="50">
        <v>7</v>
      </c>
      <c r="G53" s="40"/>
      <c r="H53" s="46">
        <f t="shared" si="3"/>
        <v>5.185185185185185E-2</v>
      </c>
      <c r="I53" s="46">
        <f t="shared" si="4"/>
        <v>5.435878632321936E-2</v>
      </c>
      <c r="J53" s="46">
        <f t="shared" si="1"/>
        <v>1.1266021094005752E-2</v>
      </c>
      <c r="K53" s="46">
        <f t="shared" si="5"/>
        <v>2.05607230412021E-2</v>
      </c>
      <c r="L53" s="46">
        <f t="shared" si="2"/>
        <v>8.815684960523662E-2</v>
      </c>
    </row>
    <row r="54" spans="1:12" x14ac:dyDescent="0.3">
      <c r="A54" s="50">
        <v>28</v>
      </c>
      <c r="B54" s="50">
        <v>398</v>
      </c>
      <c r="C54" s="50">
        <v>31</v>
      </c>
      <c r="D54" s="50">
        <v>7</v>
      </c>
      <c r="E54" s="50">
        <v>16</v>
      </c>
      <c r="F54" s="50">
        <v>8</v>
      </c>
      <c r="G54" s="40"/>
      <c r="H54" s="46">
        <f t="shared" si="3"/>
        <v>7.7889447236180909E-2</v>
      </c>
      <c r="I54" s="46">
        <f t="shared" si="4"/>
        <v>5.435878632321936E-2</v>
      </c>
      <c r="J54" s="46">
        <f t="shared" si="1"/>
        <v>1.136466231037505E-2</v>
      </c>
      <c r="K54" s="46">
        <f t="shared" si="5"/>
        <v>2.0264799392094211E-2</v>
      </c>
      <c r="L54" s="46">
        <f t="shared" si="2"/>
        <v>8.8452773254344502E-2</v>
      </c>
    </row>
    <row r="55" spans="1:12" x14ac:dyDescent="0.3">
      <c r="A55" s="38"/>
      <c r="B55" s="37" t="s">
        <v>237</v>
      </c>
      <c r="C55" s="37" t="s">
        <v>238</v>
      </c>
      <c r="D55" s="38"/>
      <c r="E55" s="38"/>
      <c r="F55" s="38"/>
      <c r="G55" s="38"/>
      <c r="H55" s="38"/>
      <c r="I55" s="38"/>
      <c r="J55" s="38"/>
      <c r="K55" s="38"/>
      <c r="L55" s="38"/>
    </row>
    <row r="56" spans="1:12" x14ac:dyDescent="0.3">
      <c r="A56" s="38"/>
      <c r="B56" s="47">
        <f>SUM(B27:B54)</f>
        <v>10909</v>
      </c>
      <c r="C56" s="47">
        <f>SUM(C27:C54)</f>
        <v>593</v>
      </c>
      <c r="D56" s="38"/>
      <c r="E56" s="38"/>
      <c r="F56" s="38"/>
      <c r="G56" s="38"/>
      <c r="H56" s="38"/>
      <c r="I56" s="38"/>
      <c r="J56" s="38"/>
      <c r="K56" s="38"/>
      <c r="L56" s="38"/>
    </row>
    <row r="57" spans="1:12" x14ac:dyDescent="0.3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</row>
    <row r="58" spans="1:12" x14ac:dyDescent="0.3">
      <c r="A58" s="38"/>
      <c r="B58" s="38"/>
      <c r="C58" s="47" t="s">
        <v>235</v>
      </c>
      <c r="D58" s="46">
        <f>C56/B56</f>
        <v>5.435878632321936E-2</v>
      </c>
      <c r="E58" s="38"/>
      <c r="F58" s="38"/>
      <c r="G58" s="38"/>
      <c r="H58" s="38"/>
      <c r="I58" s="38"/>
      <c r="J58" s="38"/>
      <c r="K58" s="38"/>
      <c r="L58" s="38"/>
    </row>
    <row r="59" spans="1:12" x14ac:dyDescent="0.3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</row>
  </sheetData>
  <mergeCells count="4">
    <mergeCell ref="A1:N1"/>
    <mergeCell ref="A13:F13"/>
    <mergeCell ref="A23:F24"/>
    <mergeCell ref="D18:F1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5"/>
  <sheetViews>
    <sheetView zoomScale="65" zoomScaleNormal="90" workbookViewId="0">
      <selection activeCell="O24" sqref="O24"/>
    </sheetView>
  </sheetViews>
  <sheetFormatPr defaultRowHeight="14.4" x14ac:dyDescent="0.3"/>
  <cols>
    <col min="1" max="1" width="33.77734375" style="19" bestFit="1" customWidth="1"/>
    <col min="2" max="2" width="37.5546875" style="19" bestFit="1" customWidth="1"/>
    <col min="3" max="3" width="40.33203125" style="19" bestFit="1" customWidth="1"/>
    <col min="4" max="4" width="54.33203125" style="19" bestFit="1" customWidth="1"/>
    <col min="5" max="5" width="44.21875" style="19" bestFit="1" customWidth="1"/>
    <col min="6" max="8" width="3.33203125" style="19" bestFit="1" customWidth="1"/>
    <col min="9" max="9" width="40.77734375" style="19" customWidth="1"/>
    <col min="10" max="10" width="15.6640625" style="19" customWidth="1"/>
    <col min="11" max="16384" width="8.88671875" style="19"/>
  </cols>
  <sheetData>
    <row r="1" spans="1:10" ht="21" x14ac:dyDescent="0.3">
      <c r="A1" s="8" t="s">
        <v>81</v>
      </c>
      <c r="B1" s="8"/>
      <c r="C1" s="8"/>
      <c r="D1" s="8"/>
      <c r="E1" s="8"/>
      <c r="F1" s="8"/>
      <c r="G1" s="8"/>
      <c r="H1" s="8"/>
      <c r="I1" s="8"/>
      <c r="J1" s="8"/>
    </row>
    <row r="3" spans="1:10" ht="15.6" x14ac:dyDescent="0.3">
      <c r="A3" s="23" t="s">
        <v>82</v>
      </c>
      <c r="B3" s="23"/>
      <c r="C3" s="23"/>
      <c r="D3" s="23"/>
      <c r="E3" s="23"/>
      <c r="F3" s="23"/>
      <c r="G3" s="23"/>
      <c r="H3" s="23"/>
      <c r="I3" s="23"/>
      <c r="J3" s="23"/>
    </row>
    <row r="4" spans="1:10" x14ac:dyDescent="0.3">
      <c r="A4" s="13" t="s">
        <v>83</v>
      </c>
      <c r="B4" s="13"/>
      <c r="C4" s="13"/>
      <c r="D4" s="13"/>
      <c r="E4" s="13"/>
      <c r="F4" s="13"/>
      <c r="G4" s="13"/>
      <c r="H4" s="13"/>
      <c r="I4" s="13"/>
      <c r="J4" s="13"/>
    </row>
    <row r="5" spans="1:10" x14ac:dyDescent="0.3">
      <c r="A5" s="13"/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3">
      <c r="A6" s="13"/>
      <c r="B6" s="13"/>
      <c r="C6" s="13"/>
      <c r="D6" s="13"/>
      <c r="E6" s="13"/>
      <c r="F6" s="13"/>
      <c r="G6" s="13"/>
      <c r="H6" s="13"/>
      <c r="I6" s="13"/>
      <c r="J6" s="13"/>
    </row>
    <row r="8" spans="1:10" ht="15.6" x14ac:dyDescent="0.3">
      <c r="A8" s="20" t="s">
        <v>84</v>
      </c>
      <c r="B8" s="20"/>
      <c r="C8" s="20"/>
      <c r="D8" s="20"/>
      <c r="E8" s="20"/>
      <c r="F8" s="20"/>
      <c r="G8" s="20"/>
      <c r="H8" s="20"/>
      <c r="I8" s="20"/>
      <c r="J8" s="20"/>
    </row>
    <row r="11" spans="1:10" x14ac:dyDescent="0.3">
      <c r="A11" s="62"/>
      <c r="B11" s="56"/>
      <c r="C11" s="56"/>
      <c r="D11" s="62"/>
      <c r="E11" s="56"/>
      <c r="F11" s="56"/>
      <c r="G11" s="62"/>
      <c r="H11" s="56"/>
      <c r="I11" s="56"/>
      <c r="J11" s="28"/>
    </row>
    <row r="12" spans="1:10" x14ac:dyDescent="0.3">
      <c r="A12" s="56"/>
      <c r="B12" s="56"/>
      <c r="C12" s="56"/>
      <c r="D12" s="56"/>
      <c r="E12" s="56"/>
      <c r="F12" s="56"/>
      <c r="G12" s="56"/>
      <c r="H12" s="56"/>
      <c r="I12" s="56"/>
      <c r="J12" s="28"/>
    </row>
    <row r="13" spans="1:10" x14ac:dyDescent="0.3">
      <c r="A13" s="56"/>
      <c r="B13" s="56"/>
      <c r="C13" s="56"/>
      <c r="D13" s="56"/>
      <c r="E13" s="56"/>
      <c r="F13" s="56"/>
      <c r="G13" s="56"/>
      <c r="H13" s="56"/>
      <c r="I13" s="56"/>
      <c r="J13" s="28"/>
    </row>
    <row r="14" spans="1:10" x14ac:dyDescent="0.3">
      <c r="A14" s="56"/>
      <c r="B14" s="56"/>
      <c r="C14" s="56"/>
      <c r="D14" s="56"/>
      <c r="E14" s="56"/>
      <c r="F14" s="56"/>
      <c r="G14" s="56"/>
      <c r="H14" s="56"/>
      <c r="I14" s="56"/>
      <c r="J14" s="28"/>
    </row>
    <row r="15" spans="1:10" x14ac:dyDescent="0.3">
      <c r="A15" s="56"/>
      <c r="B15" s="56"/>
      <c r="C15" s="56"/>
      <c r="D15" s="56"/>
      <c r="E15" s="56"/>
      <c r="F15" s="56"/>
      <c r="G15" s="56"/>
      <c r="H15" s="56"/>
      <c r="I15" s="56"/>
      <c r="J15" s="28"/>
    </row>
    <row r="16" spans="1:10" x14ac:dyDescent="0.3">
      <c r="A16" s="31"/>
      <c r="B16" s="28"/>
      <c r="C16" s="28"/>
      <c r="D16" s="31"/>
      <c r="E16" s="28"/>
      <c r="F16" s="28"/>
      <c r="G16" s="31"/>
      <c r="H16" s="28"/>
      <c r="I16" s="28"/>
      <c r="J16" s="28"/>
    </row>
    <row r="17" spans="1:10" x14ac:dyDescent="0.3">
      <c r="A17" s="28"/>
      <c r="B17" s="31"/>
      <c r="C17" s="28"/>
      <c r="D17" s="28"/>
      <c r="E17" s="31"/>
      <c r="F17" s="28"/>
      <c r="G17" s="28"/>
      <c r="H17" s="31"/>
      <c r="I17" s="28"/>
      <c r="J17" s="28"/>
    </row>
    <row r="18" spans="1:10" x14ac:dyDescent="0.3">
      <c r="A18" s="28"/>
      <c r="B18" s="63"/>
      <c r="C18" s="63"/>
      <c r="D18" s="63"/>
      <c r="E18" s="63"/>
      <c r="F18" s="63"/>
      <c r="G18" s="63"/>
      <c r="H18" s="63"/>
      <c r="I18" s="63"/>
      <c r="J18" s="28"/>
    </row>
    <row r="19" spans="1:10" x14ac:dyDescent="0.3">
      <c r="A19" s="31"/>
      <c r="B19" s="63"/>
      <c r="C19" s="63"/>
      <c r="D19" s="63"/>
      <c r="E19" s="63"/>
      <c r="F19" s="63"/>
      <c r="G19" s="63"/>
      <c r="H19" s="63"/>
      <c r="I19" s="63"/>
      <c r="J19" s="28"/>
    </row>
    <row r="20" spans="1:10" x14ac:dyDescent="0.3">
      <c r="A20" s="28"/>
      <c r="B20" s="31"/>
      <c r="C20" s="28"/>
      <c r="D20" s="28"/>
      <c r="E20" s="31"/>
      <c r="F20" s="28"/>
      <c r="G20" s="28"/>
      <c r="H20" s="31"/>
      <c r="I20" s="28"/>
      <c r="J20" s="28"/>
    </row>
    <row r="21" spans="1:10" x14ac:dyDescent="0.3">
      <c r="A21" s="28"/>
      <c r="B21" s="28"/>
      <c r="C21" s="31"/>
      <c r="D21" s="28"/>
      <c r="E21" s="28"/>
      <c r="F21" s="31"/>
      <c r="G21" s="28"/>
      <c r="H21" s="28"/>
      <c r="I21" s="31"/>
      <c r="J21" s="28"/>
    </row>
    <row r="22" spans="1:10" x14ac:dyDescent="0.3">
      <c r="A22" s="62"/>
      <c r="B22" s="56"/>
      <c r="C22" s="56"/>
      <c r="D22" s="62"/>
      <c r="E22" s="56"/>
      <c r="F22" s="56"/>
      <c r="G22" s="62"/>
      <c r="H22" s="56"/>
      <c r="I22" s="56"/>
      <c r="J22" s="28"/>
    </row>
    <row r="23" spans="1:10" x14ac:dyDescent="0.3">
      <c r="A23" s="56"/>
      <c r="B23" s="56"/>
      <c r="C23" s="56"/>
      <c r="D23" s="56"/>
      <c r="E23" s="56"/>
      <c r="F23" s="56"/>
      <c r="G23" s="56"/>
      <c r="H23" s="56"/>
      <c r="I23" s="56"/>
      <c r="J23" s="28"/>
    </row>
    <row r="24" spans="1:10" x14ac:dyDescent="0.3">
      <c r="A24" s="56"/>
      <c r="B24" s="56"/>
      <c r="C24" s="56"/>
      <c r="D24" s="56"/>
      <c r="E24" s="56"/>
      <c r="F24" s="56"/>
      <c r="G24" s="56"/>
      <c r="H24" s="56"/>
      <c r="I24" s="56"/>
      <c r="J24" s="28"/>
    </row>
    <row r="25" spans="1:10" x14ac:dyDescent="0.3">
      <c r="A25" s="56"/>
      <c r="B25" s="56"/>
      <c r="C25" s="56"/>
      <c r="D25" s="56"/>
      <c r="E25" s="56"/>
      <c r="F25" s="56"/>
      <c r="G25" s="56"/>
      <c r="H25" s="56"/>
      <c r="I25" s="56"/>
      <c r="J25" s="28"/>
    </row>
    <row r="26" spans="1:10" x14ac:dyDescent="0.3">
      <c r="A26" s="56"/>
      <c r="B26" s="56"/>
      <c r="C26" s="56"/>
      <c r="D26" s="56"/>
      <c r="E26" s="56"/>
      <c r="F26" s="56"/>
      <c r="G26" s="56"/>
      <c r="H26" s="56"/>
      <c r="I26" s="56"/>
      <c r="J26" s="28"/>
    </row>
    <row r="28" spans="1:10" x14ac:dyDescent="0.3">
      <c r="A28" s="58" t="s">
        <v>85</v>
      </c>
      <c r="B28" s="58"/>
      <c r="C28" s="58"/>
      <c r="D28" s="58"/>
      <c r="E28" s="58"/>
      <c r="F28" s="58"/>
      <c r="G28" s="58"/>
      <c r="H28" s="58"/>
      <c r="I28" s="58"/>
      <c r="J28" s="58"/>
    </row>
    <row r="29" spans="1:10" x14ac:dyDescent="0.3">
      <c r="A29" s="58"/>
      <c r="B29" s="58"/>
      <c r="C29" s="58"/>
      <c r="D29" s="58"/>
      <c r="E29" s="58"/>
      <c r="F29" s="58"/>
      <c r="G29" s="58"/>
      <c r="H29" s="58"/>
      <c r="I29" s="58"/>
      <c r="J29" s="58"/>
    </row>
    <row r="30" spans="1:10" x14ac:dyDescent="0.3">
      <c r="A30" s="58"/>
      <c r="B30" s="58"/>
      <c r="C30" s="58"/>
      <c r="D30" s="58"/>
      <c r="E30" s="58"/>
      <c r="F30" s="58"/>
      <c r="G30" s="58"/>
      <c r="H30" s="58"/>
      <c r="I30" s="58"/>
      <c r="J30" s="58"/>
    </row>
    <row r="32" spans="1:10" ht="15.6" x14ac:dyDescent="0.3">
      <c r="A32" s="23" t="s">
        <v>86</v>
      </c>
      <c r="B32" s="23"/>
      <c r="C32" s="23"/>
      <c r="D32" s="23"/>
      <c r="E32" s="23"/>
      <c r="F32" s="23"/>
      <c r="G32" s="23"/>
      <c r="H32" s="23"/>
      <c r="I32" s="23"/>
      <c r="J32" s="23"/>
    </row>
    <row r="33" spans="1:5" x14ac:dyDescent="0.3">
      <c r="A33" s="21" t="s">
        <v>87</v>
      </c>
      <c r="B33" s="21" t="s">
        <v>88</v>
      </c>
      <c r="C33" s="21" t="s">
        <v>89</v>
      </c>
      <c r="D33" s="21" t="s">
        <v>90</v>
      </c>
      <c r="E33" s="21" t="s">
        <v>91</v>
      </c>
    </row>
    <row r="34" spans="1:5" x14ac:dyDescent="0.3">
      <c r="A34" s="14" t="s">
        <v>92</v>
      </c>
      <c r="B34" s="14" t="s">
        <v>93</v>
      </c>
      <c r="C34" s="14" t="s">
        <v>94</v>
      </c>
      <c r="D34" s="14" t="s">
        <v>95</v>
      </c>
      <c r="E34" s="14" t="s">
        <v>96</v>
      </c>
    </row>
    <row r="35" spans="1:5" x14ac:dyDescent="0.3">
      <c r="A35" s="14" t="s">
        <v>97</v>
      </c>
      <c r="B35" s="14" t="s">
        <v>98</v>
      </c>
      <c r="C35" s="14" t="s">
        <v>99</v>
      </c>
      <c r="D35" s="14" t="s">
        <v>100</v>
      </c>
      <c r="E35" s="14" t="s">
        <v>101</v>
      </c>
    </row>
  </sheetData>
  <mergeCells count="6">
    <mergeCell ref="A28:J30"/>
    <mergeCell ref="A32:J32"/>
    <mergeCell ref="A1:J1"/>
    <mergeCell ref="A3:J3"/>
    <mergeCell ref="A4:J6"/>
    <mergeCell ref="A8:J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2"/>
  <sheetViews>
    <sheetView zoomScale="85" zoomScaleNormal="85" workbookViewId="0">
      <selection activeCell="F27" sqref="F27"/>
    </sheetView>
  </sheetViews>
  <sheetFormatPr defaultRowHeight="14.4" x14ac:dyDescent="0.3"/>
  <cols>
    <col min="1" max="1" width="26.5546875" style="19" bestFit="1" customWidth="1"/>
    <col min="2" max="2" width="26.77734375" style="19" bestFit="1" customWidth="1"/>
    <col min="3" max="3" width="44.77734375" style="19" bestFit="1" customWidth="1"/>
    <col min="4" max="4" width="31" style="19" bestFit="1" customWidth="1"/>
    <col min="5" max="5" width="7.77734375" style="19" bestFit="1" customWidth="1"/>
    <col min="6" max="6" width="18" style="19" bestFit="1" customWidth="1"/>
    <col min="7" max="7" width="4.33203125" style="19" customWidth="1"/>
    <col min="8" max="8" width="11.44140625" style="19" customWidth="1"/>
    <col min="9" max="9" width="35.77734375" style="19" bestFit="1" customWidth="1"/>
    <col min="10" max="10" width="7.77734375" style="19" bestFit="1" customWidth="1"/>
    <col min="11" max="16384" width="8.88671875" style="19"/>
  </cols>
  <sheetData>
    <row r="1" spans="1:10" ht="21" x14ac:dyDescent="0.3">
      <c r="A1" s="8" t="s">
        <v>102</v>
      </c>
      <c r="B1" s="8"/>
      <c r="C1" s="8"/>
      <c r="D1" s="8"/>
      <c r="E1" s="8"/>
      <c r="F1" s="8"/>
      <c r="G1" s="8"/>
      <c r="H1" s="8"/>
      <c r="I1" s="8"/>
      <c r="J1" s="8"/>
    </row>
    <row r="3" spans="1:10" ht="15.6" x14ac:dyDescent="0.3">
      <c r="A3" s="20" t="s">
        <v>103</v>
      </c>
      <c r="B3" s="20"/>
      <c r="C3" s="20"/>
      <c r="D3" s="20"/>
      <c r="E3" s="20"/>
      <c r="F3" s="20"/>
    </row>
    <row r="4" spans="1:10" x14ac:dyDescent="0.3">
      <c r="A4" s="22" t="s">
        <v>80</v>
      </c>
      <c r="B4" s="22" t="s">
        <v>104</v>
      </c>
      <c r="C4" s="22" t="s">
        <v>105</v>
      </c>
      <c r="D4" s="22" t="s">
        <v>106</v>
      </c>
      <c r="E4" s="22" t="s">
        <v>107</v>
      </c>
      <c r="F4" s="22" t="s">
        <v>108</v>
      </c>
    </row>
    <row r="5" spans="1:10" x14ac:dyDescent="0.3">
      <c r="A5" s="14" t="s">
        <v>109</v>
      </c>
      <c r="B5" s="14" t="s">
        <v>110</v>
      </c>
      <c r="C5" s="14" t="s">
        <v>111</v>
      </c>
      <c r="D5" s="14" t="s">
        <v>112</v>
      </c>
      <c r="E5" s="14" t="s">
        <v>113</v>
      </c>
      <c r="F5" s="14" t="s">
        <v>114</v>
      </c>
    </row>
    <row r="6" spans="1:10" x14ac:dyDescent="0.3">
      <c r="A6" s="14" t="s">
        <v>115</v>
      </c>
      <c r="B6" s="14" t="s">
        <v>116</v>
      </c>
      <c r="C6" s="14" t="s">
        <v>117</v>
      </c>
      <c r="D6" s="14" t="s">
        <v>118</v>
      </c>
      <c r="E6" s="14" t="s">
        <v>113</v>
      </c>
      <c r="F6" s="14" t="s">
        <v>114</v>
      </c>
    </row>
    <row r="7" spans="1:10" x14ac:dyDescent="0.3">
      <c r="A7" s="14" t="s">
        <v>119</v>
      </c>
      <c r="B7" s="14" t="s">
        <v>120</v>
      </c>
      <c r="C7" s="14" t="s">
        <v>121</v>
      </c>
      <c r="D7" s="14" t="s">
        <v>122</v>
      </c>
      <c r="E7" s="14" t="s">
        <v>123</v>
      </c>
      <c r="F7" s="14" t="s">
        <v>114</v>
      </c>
    </row>
    <row r="8" spans="1:10" x14ac:dyDescent="0.3">
      <c r="A8" s="14" t="s">
        <v>124</v>
      </c>
      <c r="B8" s="14" t="s">
        <v>125</v>
      </c>
      <c r="C8" s="14" t="s">
        <v>126</v>
      </c>
      <c r="D8" s="14" t="s">
        <v>127</v>
      </c>
      <c r="E8" s="14" t="s">
        <v>113</v>
      </c>
      <c r="F8" s="14" t="s">
        <v>114</v>
      </c>
    </row>
    <row r="9" spans="1:10" x14ac:dyDescent="0.3">
      <c r="A9" s="14" t="s">
        <v>128</v>
      </c>
      <c r="B9" s="14" t="s">
        <v>129</v>
      </c>
      <c r="C9" s="14" t="s">
        <v>130</v>
      </c>
      <c r="D9" s="14" t="s">
        <v>131</v>
      </c>
      <c r="E9" s="14" t="s">
        <v>113</v>
      </c>
      <c r="F9" s="14" t="s">
        <v>132</v>
      </c>
    </row>
    <row r="11" spans="1:10" ht="15.6" x14ac:dyDescent="0.3">
      <c r="A11" s="23" t="s">
        <v>133</v>
      </c>
      <c r="B11" s="23"/>
      <c r="C11" s="23"/>
      <c r="D11" s="23"/>
      <c r="E11" s="23"/>
      <c r="F11" s="23"/>
      <c r="G11" s="23"/>
      <c r="H11" s="23"/>
      <c r="I11" s="23"/>
      <c r="J11" s="23"/>
    </row>
    <row r="12" spans="1:10" x14ac:dyDescent="0.3">
      <c r="A12" s="21" t="s">
        <v>134</v>
      </c>
      <c r="B12" s="21" t="s">
        <v>135</v>
      </c>
      <c r="C12" s="21" t="s">
        <v>136</v>
      </c>
      <c r="D12" s="21" t="s">
        <v>137</v>
      </c>
      <c r="E12" s="21" t="s">
        <v>138</v>
      </c>
      <c r="F12" s="21" t="s">
        <v>139</v>
      </c>
      <c r="G12" s="21" t="s">
        <v>140</v>
      </c>
      <c r="H12" s="21" t="s">
        <v>141</v>
      </c>
      <c r="I12" s="21" t="s">
        <v>142</v>
      </c>
      <c r="J12" s="21" t="s">
        <v>80</v>
      </c>
    </row>
    <row r="13" spans="1:10" x14ac:dyDescent="0.3">
      <c r="A13" s="14" t="s">
        <v>143</v>
      </c>
      <c r="B13" s="14" t="s">
        <v>144</v>
      </c>
      <c r="C13" s="14">
        <v>8</v>
      </c>
      <c r="D13" s="14" t="s">
        <v>145</v>
      </c>
      <c r="E13" s="14">
        <v>7</v>
      </c>
      <c r="F13" s="14" t="s">
        <v>146</v>
      </c>
      <c r="G13" s="14">
        <v>5</v>
      </c>
      <c r="H13" s="14">
        <v>280</v>
      </c>
      <c r="I13" s="14" t="s">
        <v>147</v>
      </c>
      <c r="J13" s="14" t="s">
        <v>148</v>
      </c>
    </row>
    <row r="14" spans="1:10" x14ac:dyDescent="0.3">
      <c r="A14" s="14" t="s">
        <v>149</v>
      </c>
      <c r="B14" s="14" t="s">
        <v>150</v>
      </c>
      <c r="C14" s="14">
        <v>7</v>
      </c>
      <c r="D14" s="14" t="s">
        <v>151</v>
      </c>
      <c r="E14" s="14">
        <v>6</v>
      </c>
      <c r="F14" s="14" t="s">
        <v>152</v>
      </c>
      <c r="G14" s="14">
        <v>6</v>
      </c>
      <c r="H14" s="14">
        <v>252</v>
      </c>
      <c r="I14" s="14" t="s">
        <v>153</v>
      </c>
      <c r="J14" s="14" t="s">
        <v>148</v>
      </c>
    </row>
    <row r="15" spans="1:10" x14ac:dyDescent="0.3">
      <c r="A15" s="14" t="s">
        <v>154</v>
      </c>
      <c r="B15" s="14" t="s">
        <v>155</v>
      </c>
      <c r="C15" s="14">
        <v>8</v>
      </c>
      <c r="D15" s="14" t="s">
        <v>156</v>
      </c>
      <c r="E15" s="14">
        <v>5</v>
      </c>
      <c r="F15" s="14" t="s">
        <v>152</v>
      </c>
      <c r="G15" s="14">
        <v>5</v>
      </c>
      <c r="H15" s="59">
        <v>200</v>
      </c>
      <c r="I15" s="14" t="s">
        <v>157</v>
      </c>
      <c r="J15" s="59" t="s">
        <v>123</v>
      </c>
    </row>
    <row r="16" spans="1:10" x14ac:dyDescent="0.3">
      <c r="A16" s="14" t="s">
        <v>125</v>
      </c>
      <c r="B16" s="14" t="s">
        <v>158</v>
      </c>
      <c r="C16" s="14">
        <v>6</v>
      </c>
      <c r="D16" s="14" t="s">
        <v>159</v>
      </c>
      <c r="E16" s="14">
        <v>5</v>
      </c>
      <c r="F16" s="14" t="s">
        <v>160</v>
      </c>
      <c r="G16" s="14">
        <v>6</v>
      </c>
      <c r="H16" s="59">
        <v>180</v>
      </c>
      <c r="I16" s="14" t="s">
        <v>161</v>
      </c>
      <c r="J16" s="59" t="s">
        <v>123</v>
      </c>
    </row>
    <row r="17" spans="1:12" x14ac:dyDescent="0.3">
      <c r="A17" s="14" t="s">
        <v>162</v>
      </c>
      <c r="B17" s="14" t="s">
        <v>163</v>
      </c>
      <c r="C17" s="14">
        <v>5</v>
      </c>
      <c r="D17" s="14" t="s">
        <v>164</v>
      </c>
      <c r="E17" s="14">
        <v>5</v>
      </c>
      <c r="F17" s="14" t="s">
        <v>165</v>
      </c>
      <c r="G17" s="14">
        <v>7</v>
      </c>
      <c r="H17" s="14">
        <v>175</v>
      </c>
      <c r="I17" s="14" t="s">
        <v>166</v>
      </c>
      <c r="J17" s="14" t="s">
        <v>167</v>
      </c>
    </row>
    <row r="19" spans="1:12" ht="15.6" x14ac:dyDescent="0.3">
      <c r="A19" s="20" t="s">
        <v>168</v>
      </c>
      <c r="B19" s="20"/>
      <c r="C19" s="20"/>
      <c r="D19" s="20"/>
      <c r="E19" s="20"/>
      <c r="F19" s="20"/>
      <c r="G19" s="20"/>
      <c r="H19" s="20"/>
      <c r="I19" s="20"/>
      <c r="J19" s="20"/>
    </row>
    <row r="20" spans="1:12" x14ac:dyDescent="0.3">
      <c r="A20" s="60" t="s">
        <v>169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2" x14ac:dyDescent="0.3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24"/>
    </row>
    <row r="22" spans="1:12" x14ac:dyDescent="0.3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24"/>
    </row>
  </sheetData>
  <mergeCells count="5">
    <mergeCell ref="A1:J1"/>
    <mergeCell ref="A3:F3"/>
    <mergeCell ref="A11:J11"/>
    <mergeCell ref="A19:J19"/>
    <mergeCell ref="A20:L2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6"/>
  <sheetViews>
    <sheetView zoomScale="90" zoomScaleNormal="90" workbookViewId="0">
      <selection activeCell="D13" sqref="D13"/>
    </sheetView>
  </sheetViews>
  <sheetFormatPr defaultRowHeight="14.4" x14ac:dyDescent="0.3"/>
  <cols>
    <col min="1" max="1" width="22.109375" bestFit="1" customWidth="1"/>
    <col min="2" max="2" width="12.33203125" bestFit="1" customWidth="1"/>
    <col min="3" max="3" width="19.88671875" bestFit="1" customWidth="1"/>
    <col min="4" max="4" width="11.109375" bestFit="1" customWidth="1"/>
    <col min="5" max="5" width="10.5546875" bestFit="1" customWidth="1"/>
    <col min="6" max="6" width="15.21875" bestFit="1" customWidth="1"/>
    <col min="7" max="7" width="25.5546875" bestFit="1" customWidth="1"/>
    <col min="8" max="8" width="28.6640625" bestFit="1" customWidth="1"/>
    <col min="9" max="9" width="14.88671875" bestFit="1" customWidth="1"/>
    <col min="10" max="10" width="10.44140625" bestFit="1" customWidth="1"/>
  </cols>
  <sheetData>
    <row r="1" spans="1:10" ht="21" x14ac:dyDescent="0.3">
      <c r="A1" s="8" t="s">
        <v>170</v>
      </c>
      <c r="B1" s="8"/>
      <c r="C1" s="8"/>
      <c r="D1" s="8"/>
      <c r="E1" s="8"/>
      <c r="F1" s="8"/>
      <c r="G1" s="8"/>
      <c r="H1" s="8"/>
      <c r="I1" s="8"/>
      <c r="J1" s="8"/>
    </row>
    <row r="3" spans="1:10" s="19" customFormat="1" ht="15.6" x14ac:dyDescent="0.3">
      <c r="A3" s="23" t="s">
        <v>171</v>
      </c>
      <c r="B3" s="23"/>
      <c r="C3" s="23"/>
      <c r="D3" s="23"/>
      <c r="E3" s="23"/>
      <c r="F3" s="23"/>
      <c r="G3" s="23"/>
      <c r="H3" s="23"/>
      <c r="I3" s="23"/>
      <c r="J3" s="23"/>
    </row>
    <row r="4" spans="1:10" s="19" customFormat="1" x14ac:dyDescent="0.3">
      <c r="A4" s="21" t="s">
        <v>172</v>
      </c>
      <c r="B4" s="21" t="s">
        <v>173</v>
      </c>
      <c r="C4" s="21" t="s">
        <v>174</v>
      </c>
      <c r="D4" s="21" t="s">
        <v>175</v>
      </c>
      <c r="E4" s="21" t="s">
        <v>176</v>
      </c>
      <c r="F4" s="21" t="s">
        <v>177</v>
      </c>
      <c r="G4" s="21" t="s">
        <v>178</v>
      </c>
      <c r="H4" s="21" t="s">
        <v>179</v>
      </c>
      <c r="I4" s="21" t="s">
        <v>180</v>
      </c>
      <c r="J4" s="21" t="s">
        <v>181</v>
      </c>
    </row>
    <row r="5" spans="1:10" s="19" customFormat="1" x14ac:dyDescent="0.3">
      <c r="A5" s="14" t="s">
        <v>182</v>
      </c>
      <c r="B5" s="4">
        <v>5.435878632321936E-2</v>
      </c>
      <c r="C5" s="14" t="s">
        <v>183</v>
      </c>
      <c r="D5" s="14" t="s">
        <v>184</v>
      </c>
      <c r="E5" s="14" t="s">
        <v>185</v>
      </c>
      <c r="F5" s="14" t="s">
        <v>186</v>
      </c>
      <c r="G5" s="14" t="s">
        <v>187</v>
      </c>
      <c r="H5" s="14" t="s">
        <v>188</v>
      </c>
      <c r="I5" s="14" t="s">
        <v>189</v>
      </c>
      <c r="J5" s="61" t="s">
        <v>190</v>
      </c>
    </row>
    <row r="6" spans="1:10" s="19" customFormat="1" x14ac:dyDescent="0.3">
      <c r="A6" s="14" t="s">
        <v>191</v>
      </c>
      <c r="B6" s="14">
        <v>277</v>
      </c>
      <c r="C6" s="14" t="s">
        <v>192</v>
      </c>
      <c r="D6" s="14" t="s">
        <v>184</v>
      </c>
      <c r="E6" s="14" t="s">
        <v>193</v>
      </c>
      <c r="F6" s="14" t="s">
        <v>194</v>
      </c>
      <c r="G6" s="14" t="s">
        <v>195</v>
      </c>
      <c r="H6" s="14" t="s">
        <v>196</v>
      </c>
      <c r="I6" s="14" t="s">
        <v>197</v>
      </c>
      <c r="J6" s="61" t="s">
        <v>190</v>
      </c>
    </row>
    <row r="7" spans="1:10" s="19" customFormat="1" x14ac:dyDescent="0.3">
      <c r="A7" s="14" t="s">
        <v>198</v>
      </c>
      <c r="B7" s="14">
        <v>178</v>
      </c>
      <c r="C7" s="14" t="s">
        <v>192</v>
      </c>
      <c r="D7" s="14" t="s">
        <v>184</v>
      </c>
      <c r="E7" s="14" t="s">
        <v>199</v>
      </c>
      <c r="F7" s="14" t="s">
        <v>194</v>
      </c>
      <c r="G7" s="14" t="s">
        <v>195</v>
      </c>
      <c r="H7" s="14" t="s">
        <v>200</v>
      </c>
      <c r="I7" s="14" t="s">
        <v>197</v>
      </c>
      <c r="J7" s="61" t="s">
        <v>190</v>
      </c>
    </row>
    <row r="8" spans="1:10" s="19" customFormat="1" x14ac:dyDescent="0.3">
      <c r="A8" s="14" t="s">
        <v>201</v>
      </c>
      <c r="B8" s="14">
        <v>138</v>
      </c>
      <c r="C8" s="14" t="s">
        <v>192</v>
      </c>
      <c r="D8" s="14" t="s">
        <v>184</v>
      </c>
      <c r="E8" s="14" t="s">
        <v>193</v>
      </c>
      <c r="F8" s="14" t="s">
        <v>194</v>
      </c>
      <c r="G8" s="14" t="s">
        <v>195</v>
      </c>
      <c r="H8" s="14" t="s">
        <v>202</v>
      </c>
      <c r="I8" s="14" t="s">
        <v>197</v>
      </c>
      <c r="J8" s="61" t="s">
        <v>190</v>
      </c>
    </row>
    <row r="9" spans="1:10" s="19" customFormat="1" x14ac:dyDescent="0.3">
      <c r="A9" s="14" t="s">
        <v>203</v>
      </c>
      <c r="B9" s="14" t="s">
        <v>204</v>
      </c>
      <c r="C9" s="14" t="s">
        <v>205</v>
      </c>
      <c r="D9" s="14" t="s">
        <v>206</v>
      </c>
      <c r="E9" s="14" t="s">
        <v>185</v>
      </c>
      <c r="F9" s="14" t="s">
        <v>207</v>
      </c>
      <c r="G9" s="14" t="s">
        <v>208</v>
      </c>
      <c r="H9" s="14" t="s">
        <v>209</v>
      </c>
      <c r="I9" s="14" t="s">
        <v>210</v>
      </c>
      <c r="J9" s="61" t="s">
        <v>132</v>
      </c>
    </row>
    <row r="10" spans="1:10" s="19" customFormat="1" x14ac:dyDescent="0.3">
      <c r="A10" s="14" t="s">
        <v>211</v>
      </c>
      <c r="B10" s="14" t="s">
        <v>204</v>
      </c>
      <c r="C10" s="14" t="s">
        <v>212</v>
      </c>
      <c r="D10" s="14" t="s">
        <v>213</v>
      </c>
      <c r="E10" s="14" t="s">
        <v>214</v>
      </c>
      <c r="F10" s="14" t="s">
        <v>215</v>
      </c>
      <c r="G10" s="14" t="s">
        <v>216</v>
      </c>
      <c r="H10" s="14" t="s">
        <v>217</v>
      </c>
      <c r="I10" s="14" t="s">
        <v>218</v>
      </c>
      <c r="J10" s="61" t="s">
        <v>132</v>
      </c>
    </row>
    <row r="11" spans="1:10" s="19" customFormat="1" x14ac:dyDescent="0.3"/>
    <row r="12" spans="1:10" s="19" customFormat="1" ht="15.6" x14ac:dyDescent="0.3">
      <c r="A12" s="64" t="s">
        <v>219</v>
      </c>
      <c r="B12" s="64"/>
      <c r="C12" s="64"/>
      <c r="D12" s="64"/>
      <c r="E12" s="64"/>
      <c r="F12" s="64"/>
      <c r="G12" s="64"/>
      <c r="H12" s="64"/>
      <c r="I12" s="64"/>
      <c r="J12" s="64"/>
    </row>
    <row r="13" spans="1:10" s="19" customFormat="1" x14ac:dyDescent="0.3">
      <c r="A13" s="15" t="s">
        <v>245</v>
      </c>
      <c r="B13" s="15"/>
      <c r="C13" s="15"/>
      <c r="D13" s="15"/>
      <c r="E13" s="15"/>
      <c r="F13" s="15"/>
      <c r="G13" s="15"/>
      <c r="H13" s="15"/>
      <c r="I13" s="15"/>
      <c r="J13" s="15"/>
    </row>
    <row r="14" spans="1:10" s="19" customFormat="1" x14ac:dyDescent="0.3">
      <c r="A14" s="15"/>
      <c r="B14" s="15"/>
      <c r="C14" s="15"/>
      <c r="D14" s="15"/>
      <c r="E14" s="15"/>
      <c r="F14" s="15"/>
      <c r="G14" s="15"/>
      <c r="H14" s="15"/>
      <c r="I14" s="15"/>
      <c r="J14" s="15"/>
    </row>
    <row r="15" spans="1:10" s="19" customFormat="1" x14ac:dyDescent="0.3">
      <c r="A15" s="15"/>
      <c r="B15" s="15"/>
      <c r="C15" s="15"/>
      <c r="D15" s="15"/>
      <c r="E15" s="15"/>
      <c r="F15" s="15"/>
      <c r="G15" s="15"/>
      <c r="H15" s="15"/>
      <c r="I15" s="15"/>
      <c r="J15" s="15"/>
    </row>
    <row r="16" spans="1:10" s="19" customFormat="1" x14ac:dyDescent="0.3"/>
  </sheetData>
  <mergeCells count="3">
    <mergeCell ref="A1:J1"/>
    <mergeCell ref="A3:J3"/>
    <mergeCell ref="A12:J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 DATA</vt:lpstr>
      <vt:lpstr>2 DEFINE</vt:lpstr>
      <vt:lpstr>3 MEASURE</vt:lpstr>
      <vt:lpstr>4 ANALYZE</vt:lpstr>
      <vt:lpstr>5 IMPROVE</vt:lpstr>
      <vt:lpstr>6 CONTROL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TQMSS DMAIC Excel Analysis</dc:title>
  <dc:subject>DMAIC analysis only</dc:subject>
  <dc:creator>TQMSS Group</dc:creator>
  <cp:lastModifiedBy>JATIN RAJPUT</cp:lastModifiedBy>
  <dcterms:created xsi:type="dcterms:W3CDTF">2026-09-06T12:01:39Z</dcterms:created>
  <dcterms:modified xsi:type="dcterms:W3CDTF">2026-09-06T13:50:24Z</dcterms:modified>
</cp:coreProperties>
</file>